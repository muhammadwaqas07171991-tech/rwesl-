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1BA7F1F-8163-4759-BF45-711A2D46676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ractice Example" sheetId="1" r:id="rId1"/>
    <sheet name="Sheet1" sheetId="2" r:id="rId2"/>
  </sheets>
  <definedNames>
    <definedName name="_xlnm.Print_Area" localSheetId="0">'Practice Example'!$A$1:$H$23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2" l="1"/>
  <c r="E9" i="2"/>
  <c r="B7" i="2"/>
  <c r="E7" i="2"/>
  <c r="E3" i="2"/>
  <c r="E4" i="2"/>
  <c r="E5" i="2"/>
  <c r="E6" i="2"/>
  <c r="E2" i="2"/>
  <c r="D7" i="2"/>
  <c r="D6" i="2"/>
  <c r="D5" i="2"/>
  <c r="D4" i="2"/>
  <c r="D3" i="2"/>
  <c r="D2" i="2"/>
  <c r="C7" i="2"/>
  <c r="B16" i="1"/>
  <c r="B15" i="1"/>
  <c r="B11" i="1"/>
  <c r="E8" i="1"/>
  <c r="E4" i="1"/>
  <c r="C8" i="1"/>
  <c r="B10" i="1" s="1"/>
  <c r="E7" i="1"/>
  <c r="D7" i="1"/>
  <c r="E6" i="1"/>
  <c r="D6" i="1"/>
  <c r="E5" i="1"/>
  <c r="D5" i="1"/>
  <c r="D4" i="1"/>
  <c r="D8" i="1" s="1"/>
</calcChain>
</file>

<file path=xl/sharedStrings.xml><?xml version="1.0" encoding="utf-8"?>
<sst xmlns="http://schemas.openxmlformats.org/spreadsheetml/2006/main" count="30" uniqueCount="29">
  <si>
    <t>Ri (mm)
Ri (mm)</t>
  </si>
  <si>
    <t>ai (km²)
ai (km²)</t>
  </si>
  <si>
    <t>ai/A
ai/A</t>
  </si>
  <si>
    <t>Ri·ai
Ri·ai</t>
  </si>
  <si>
    <t>G1</t>
  </si>
  <si>
    <t>G2</t>
  </si>
  <si>
    <t>G3</t>
  </si>
  <si>
    <t>G4</t>
  </si>
  <si>
    <r>
      <t xml:space="preserve">Practice Example — Thiessen Polygon Method
</t>
    </r>
    <r>
      <rPr>
        <b/>
        <sz val="16"/>
        <color rgb="FF1F4E79"/>
        <rFont val="Noto Sans CJK SC"/>
        <family val="2"/>
      </rPr>
      <t xml:space="preserve">연습 예제 — 티센 다각형법 </t>
    </r>
  </si>
  <si>
    <r>
      <t xml:space="preserve">PRACTICE TABLE — 4 GAUGES
</t>
    </r>
    <r>
      <rPr>
        <b/>
        <sz val="14"/>
        <rFont val="Noto Sans CJK SC"/>
        <family val="2"/>
      </rPr>
      <t xml:space="preserve">연습 표 — 관측소 </t>
    </r>
    <r>
      <rPr>
        <b/>
        <sz val="14"/>
        <rFont val="Calibri"/>
        <family val="2"/>
      </rPr>
      <t>4</t>
    </r>
    <r>
      <rPr>
        <b/>
        <sz val="14"/>
        <rFont val="Noto Sans CJK SC"/>
        <family val="2"/>
      </rPr>
      <t>개</t>
    </r>
  </si>
  <si>
    <r>
      <t xml:space="preserve">TOTAL / CHECK
</t>
    </r>
    <r>
      <rPr>
        <b/>
        <sz val="14"/>
        <color rgb="FF1B2B34"/>
        <rFont val="Noto Sans CJK SC"/>
        <family val="2"/>
      </rPr>
      <t xml:space="preserve">합계 </t>
    </r>
    <r>
      <rPr>
        <b/>
        <sz val="14"/>
        <color rgb="FF1B2B34"/>
        <rFont val="Calibri"/>
        <family val="2"/>
      </rPr>
      <t xml:space="preserve">/ </t>
    </r>
    <r>
      <rPr>
        <b/>
        <sz val="14"/>
        <color rgb="FF1B2B34"/>
        <rFont val="Noto Sans CJK SC"/>
        <family val="2"/>
      </rPr>
      <t>검증</t>
    </r>
  </si>
  <si>
    <r>
      <t xml:space="preserve">The Thiessen value is higher than the Arithmetic Mean because G4 has both the highest reading (50 mm) AND the largest area (40 km², 40% of the catchment) — the same pattern as G4 in the lecture's 6-gauge example. Try changing G4's area in cell C9 to something small (e.g. 5) and watch the Thiessen mean drop below the Arithmetic Mean.
</t>
    </r>
    <r>
      <rPr>
        <sz val="18"/>
        <rFont val="Noto Sans CJK SC"/>
        <family val="2"/>
      </rPr>
      <t xml:space="preserve">티센값이 산술평균보다 큰 이유는 </t>
    </r>
    <r>
      <rPr>
        <sz val="18"/>
        <rFont val="Calibri"/>
        <family val="2"/>
      </rPr>
      <t>G4</t>
    </r>
    <r>
      <rPr>
        <sz val="18"/>
        <rFont val="Noto Sans CJK SC"/>
        <family val="2"/>
      </rPr>
      <t>가 가장 높은 관측값</t>
    </r>
    <r>
      <rPr>
        <sz val="18"/>
        <rFont val="Calibri"/>
        <family val="2"/>
      </rPr>
      <t>(50mm)</t>
    </r>
    <r>
      <rPr>
        <sz val="18"/>
        <rFont val="Noto Sans CJK SC"/>
        <family val="2"/>
      </rPr>
      <t>과 가장 넓은 면적</t>
    </r>
    <r>
      <rPr>
        <sz val="18"/>
        <rFont val="Calibri"/>
        <family val="2"/>
      </rPr>
      <t xml:space="preserve">(40 km², </t>
    </r>
    <r>
      <rPr>
        <sz val="18"/>
        <rFont val="Noto Sans CJK SC"/>
        <family val="2"/>
      </rPr>
      <t xml:space="preserve">유역의 </t>
    </r>
    <r>
      <rPr>
        <sz val="18"/>
        <rFont val="Calibri"/>
        <family val="2"/>
      </rPr>
      <t>40%)</t>
    </r>
    <r>
      <rPr>
        <sz val="18"/>
        <rFont val="Noto Sans CJK SC"/>
        <family val="2"/>
      </rPr>
      <t xml:space="preserve">을 모두 가지기 때문이다 — 강의의 </t>
    </r>
    <r>
      <rPr>
        <sz val="18"/>
        <rFont val="Calibri"/>
        <family val="2"/>
      </rPr>
      <t>6</t>
    </r>
    <r>
      <rPr>
        <sz val="18"/>
        <rFont val="Noto Sans CJK SC"/>
        <family val="2"/>
      </rPr>
      <t xml:space="preserve">개 관측소 예제에서 </t>
    </r>
    <r>
      <rPr>
        <sz val="18"/>
        <rFont val="Calibri"/>
        <family val="2"/>
      </rPr>
      <t>G4</t>
    </r>
    <r>
      <rPr>
        <sz val="18"/>
        <rFont val="Noto Sans CJK SC"/>
        <family val="2"/>
      </rPr>
      <t>와 같은 패턴이다</t>
    </r>
    <r>
      <rPr>
        <sz val="18"/>
        <rFont val="Calibri"/>
        <family val="2"/>
      </rPr>
      <t xml:space="preserve">. C9 </t>
    </r>
    <r>
      <rPr>
        <sz val="18"/>
        <rFont val="Noto Sans CJK SC"/>
        <family val="2"/>
      </rPr>
      <t xml:space="preserve">셀의 </t>
    </r>
    <r>
      <rPr>
        <sz val="18"/>
        <rFont val="Calibri"/>
        <family val="2"/>
      </rPr>
      <t xml:space="preserve">G4 </t>
    </r>
    <r>
      <rPr>
        <sz val="18"/>
        <rFont val="Noto Sans CJK SC"/>
        <family val="2"/>
      </rPr>
      <t>면적을 작은 값</t>
    </r>
    <r>
      <rPr>
        <sz val="18"/>
        <rFont val="Calibri"/>
        <family val="2"/>
      </rPr>
      <t>(</t>
    </r>
    <r>
      <rPr>
        <sz val="18"/>
        <rFont val="Noto Sans CJK SC"/>
        <family val="2"/>
      </rPr>
      <t>예</t>
    </r>
    <r>
      <rPr>
        <sz val="18"/>
        <rFont val="Calibri"/>
        <family val="2"/>
      </rPr>
      <t>: 5)</t>
    </r>
    <r>
      <rPr>
        <sz val="18"/>
        <rFont val="Noto Sans CJK SC"/>
        <family val="2"/>
      </rPr>
      <t>으로 바꾸어 티센 평균이 산술평균보다 낮아지는지 직접 확인해 보라</t>
    </r>
    <r>
      <rPr>
        <sz val="18"/>
        <rFont val="Calibri"/>
        <family val="2"/>
      </rPr>
      <t>.</t>
    </r>
  </si>
  <si>
    <r>
      <t>Column D (ai/A) must add up to 1.000 — that check catches a mismeasured or missing area, just like in the lecture example.
D</t>
    </r>
    <r>
      <rPr>
        <sz val="16"/>
        <rFont val="Noto Sans CJK SC"/>
        <family val="2"/>
      </rPr>
      <t>열</t>
    </r>
    <r>
      <rPr>
        <sz val="16"/>
        <rFont val="Calibri"/>
        <family val="2"/>
      </rPr>
      <t>(ai/A)</t>
    </r>
    <r>
      <rPr>
        <sz val="16"/>
        <rFont val="Noto Sans CJK SC"/>
        <family val="2"/>
      </rPr>
      <t xml:space="preserve">의 합은 반드시 </t>
    </r>
    <r>
      <rPr>
        <sz val="16"/>
        <rFont val="Calibri"/>
        <family val="2"/>
      </rPr>
      <t>1.000</t>
    </r>
    <r>
      <rPr>
        <sz val="16"/>
        <rFont val="Noto Sans CJK SC"/>
        <family val="2"/>
      </rPr>
      <t>이 되어야 한다 — 면적을 잘못 측정했거나 빠뜨렸는지 확인하는 검증이며</t>
    </r>
    <r>
      <rPr>
        <sz val="16"/>
        <rFont val="Calibri"/>
        <family val="2"/>
      </rPr>
      <t xml:space="preserve">, </t>
    </r>
    <r>
      <rPr>
        <sz val="16"/>
        <rFont val="Noto Sans CJK SC"/>
        <family val="2"/>
      </rPr>
      <t>강의 예제와 동일한 방식이다</t>
    </r>
    <r>
      <rPr>
        <sz val="16"/>
        <rFont val="Calibri"/>
        <family val="2"/>
      </rPr>
      <t>.</t>
    </r>
  </si>
  <si>
    <r>
      <t xml:space="preserve">Gauge
</t>
    </r>
    <r>
      <rPr>
        <b/>
        <sz val="18"/>
        <color rgb="FFFFFFFF"/>
        <rFont val="Noto Sans CJK SC"/>
        <family val="2"/>
      </rPr>
      <t>관측소</t>
    </r>
  </si>
  <si>
    <t>COMPARE WITH Average Method</t>
  </si>
  <si>
    <r>
      <t xml:space="preserve">Method
</t>
    </r>
    <r>
      <rPr>
        <b/>
        <sz val="14"/>
        <color rgb="FFFFFFFF"/>
        <rFont val="Noto Sans CJK SC"/>
        <family val="2"/>
      </rPr>
      <t>방법</t>
    </r>
  </si>
  <si>
    <r>
      <t xml:space="preserve">Areal Rainfall (mm)
</t>
    </r>
    <r>
      <rPr>
        <b/>
        <sz val="14"/>
        <color rgb="FFFFFFFF"/>
        <rFont val="Noto Sans CJK SC"/>
        <family val="2"/>
      </rPr>
      <t xml:space="preserve">면적강우량 </t>
    </r>
    <r>
      <rPr>
        <b/>
        <sz val="14"/>
        <color rgb="FFFFFFFF"/>
        <rFont val="Calibri"/>
        <family val="2"/>
      </rPr>
      <t>(mm)</t>
    </r>
  </si>
  <si>
    <r>
      <t xml:space="preserve">Thiessen Weighted Mean
</t>
    </r>
    <r>
      <rPr>
        <b/>
        <sz val="16"/>
        <rFont val="Noto Sans CJK SC"/>
        <family val="2"/>
      </rPr>
      <t>티센 가중평균</t>
    </r>
  </si>
  <si>
    <r>
      <t xml:space="preserve">Total catchment area A (km²)
</t>
    </r>
    <r>
      <rPr>
        <sz val="14"/>
        <rFont val="Noto Sans CJK SC"/>
        <family val="2"/>
      </rPr>
      <t xml:space="preserve">전체 유역 면적 </t>
    </r>
    <r>
      <rPr>
        <sz val="14"/>
        <rFont val="Calibri"/>
        <family val="2"/>
      </rPr>
      <t>A (km²)</t>
    </r>
  </si>
  <si>
    <r>
      <t xml:space="preserve">Thiessen Weighted Mean R̄ (mm)
</t>
    </r>
    <r>
      <rPr>
        <b/>
        <sz val="14"/>
        <rFont val="Noto Sans CJK SC"/>
        <family val="2"/>
      </rPr>
      <t xml:space="preserve">티센 가중평균 </t>
    </r>
    <r>
      <rPr>
        <b/>
        <sz val="14"/>
        <rFont val="Calibri"/>
        <family val="2"/>
      </rPr>
      <t>R̄ (mm)</t>
    </r>
  </si>
  <si>
    <t xml:space="preserve">Average Method </t>
  </si>
  <si>
    <t xml:space="preserve">Gauge </t>
    <phoneticPr fontId="23" type="noConversion"/>
  </si>
  <si>
    <t>ai/A</t>
    <phoneticPr fontId="23" type="noConversion"/>
  </si>
  <si>
    <t xml:space="preserve">Ri*ai </t>
    <phoneticPr fontId="23" type="noConversion"/>
  </si>
  <si>
    <t>Ri (mm)</t>
    <phoneticPr fontId="23" type="noConversion"/>
  </si>
  <si>
    <t>ai (Km2)</t>
    <phoneticPr fontId="23" type="noConversion"/>
  </si>
  <si>
    <t xml:space="preserve">Thiessen Polygon Method </t>
    <phoneticPr fontId="23" type="noConversion"/>
  </si>
  <si>
    <t>Average Method</t>
    <phoneticPr fontId="23" type="noConversion"/>
  </si>
  <si>
    <t>mm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</si>
</sst>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25">
    <font>
      <sz val="11"/>
      <color theme="1"/>
      <name val="Calibri"/>
      <family val="2"/>
      <charset val="1"/>
    </font>
    <font>
      <b/>
      <sz val="16"/>
      <color rgb="FF1F4E79"/>
      <name val="Cambria"/>
      <charset val="1"/>
    </font>
    <font>
      <b/>
      <sz val="16"/>
      <color rgb="FF1F4E79"/>
      <name val="Noto Sans CJK SC"/>
      <family val="2"/>
    </font>
    <font>
      <sz val="14"/>
      <name val="Calibri"/>
      <family val="2"/>
    </font>
    <font>
      <sz val="14"/>
      <name val="Noto Sans CJK SC"/>
      <family val="2"/>
    </font>
    <font>
      <b/>
      <sz val="14"/>
      <name val="Calibri"/>
      <family val="2"/>
    </font>
    <font>
      <b/>
      <sz val="14"/>
      <name val="Noto Sans CJK SC"/>
      <family val="2"/>
    </font>
    <font>
      <sz val="14"/>
      <name val="Calibri"/>
      <family val="2"/>
      <charset val="1"/>
    </font>
    <font>
      <sz val="16"/>
      <name val="Calibri"/>
      <family val="2"/>
    </font>
    <font>
      <sz val="16"/>
      <name val="Noto Sans CJK SC"/>
      <family val="2"/>
    </font>
    <font>
      <sz val="18"/>
      <name val="Calibri"/>
      <family val="2"/>
    </font>
    <font>
      <sz val="18"/>
      <name val="Noto Sans CJK SC"/>
      <family val="2"/>
    </font>
    <font>
      <b/>
      <sz val="14"/>
      <color rgb="FFFFFFFF"/>
      <name val="Calibri"/>
      <family val="2"/>
    </font>
    <font>
      <b/>
      <sz val="14"/>
      <color rgb="FFFFFFFF"/>
      <name val="Noto Sans CJK SC"/>
      <family val="2"/>
    </font>
    <font>
      <b/>
      <sz val="14"/>
      <color rgb="FF1B2B34"/>
      <name val="Calibri"/>
      <family val="2"/>
    </font>
    <font>
      <b/>
      <sz val="14"/>
      <color rgb="FF1B2B34"/>
      <name val="Noto Sans CJK SC"/>
      <family val="2"/>
    </font>
    <font>
      <sz val="14"/>
      <color theme="1"/>
      <name val="Calibri"/>
      <family val="2"/>
      <charset val="1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8"/>
      <color rgb="FFFFFFFF"/>
      <name val="Noto Sans CJK SC"/>
      <family val="2"/>
    </font>
    <font>
      <b/>
      <sz val="18"/>
      <color rgb="FF1C7293"/>
      <name val="Calibri"/>
      <family val="2"/>
    </font>
    <font>
      <b/>
      <sz val="16"/>
      <name val="Calibri"/>
      <family val="2"/>
    </font>
    <font>
      <b/>
      <sz val="16"/>
      <name val="Noto Sans CJK SC"/>
      <family val="2"/>
    </font>
    <font>
      <sz val="8"/>
      <name val="돋움체"/>
      <family val="3"/>
      <charset val="129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0" xfId="0" applyFont="1"/>
    <xf numFmtId="1" fontId="17" fillId="0" borderId="0" xfId="0" applyNumberFormat="1" applyFont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77" fontId="8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177" fontId="2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1697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B2B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"/>
  <sheetViews>
    <sheetView showGridLines="0" topLeftCell="A11" zoomScaleNormal="100" workbookViewId="0">
      <selection activeCell="A13" sqref="A13:B13"/>
    </sheetView>
  </sheetViews>
  <sheetFormatPr defaultColWidth="8.5703125" defaultRowHeight="15"/>
  <cols>
    <col min="1" max="1" width="49.28515625" customWidth="1"/>
    <col min="2" max="2" width="16" customWidth="1"/>
    <col min="3" max="3" width="13" customWidth="1"/>
    <col min="4" max="4" width="13.5703125" customWidth="1"/>
    <col min="5" max="5" width="13" customWidth="1"/>
    <col min="6" max="6" width="18" customWidth="1"/>
    <col min="7" max="8" width="13" customWidth="1"/>
  </cols>
  <sheetData>
    <row r="1" spans="1:14" ht="36" customHeight="1">
      <c r="A1" s="18" t="s">
        <v>8</v>
      </c>
      <c r="B1" s="18"/>
      <c r="C1" s="18"/>
      <c r="D1" s="18"/>
      <c r="E1" s="18"/>
      <c r="F1" s="18"/>
      <c r="G1" s="18"/>
      <c r="H1" s="18"/>
    </row>
    <row r="2" spans="1:14" ht="52.5" customHeight="1">
      <c r="A2" s="19" t="s">
        <v>9</v>
      </c>
      <c r="B2" s="19"/>
      <c r="C2" s="19"/>
      <c r="D2" s="19"/>
      <c r="E2" s="19"/>
      <c r="F2" s="19"/>
      <c r="G2" s="19"/>
      <c r="H2" s="1"/>
    </row>
    <row r="3" spans="1:14" ht="62.1" customHeight="1">
      <c r="A3" s="8" t="s">
        <v>13</v>
      </c>
      <c r="B3" s="8" t="s">
        <v>0</v>
      </c>
      <c r="C3" s="8" t="s">
        <v>1</v>
      </c>
      <c r="D3" s="8" t="s">
        <v>2</v>
      </c>
      <c r="E3" s="8" t="s">
        <v>3</v>
      </c>
    </row>
    <row r="4" spans="1:14" ht="27" customHeight="1">
      <c r="A4" s="13" t="s">
        <v>4</v>
      </c>
      <c r="B4" s="16">
        <v>20</v>
      </c>
      <c r="C4" s="16">
        <v>10</v>
      </c>
      <c r="D4" s="17">
        <f>C4/SUM($C$4:$C$7)</f>
        <v>0.1</v>
      </c>
      <c r="E4" s="14">
        <f>B4*C4</f>
        <v>200</v>
      </c>
      <c r="F4" s="21" t="s">
        <v>12</v>
      </c>
      <c r="G4" s="21"/>
      <c r="H4" s="21"/>
      <c r="I4" s="21"/>
      <c r="J4" s="21"/>
      <c r="K4" s="21"/>
      <c r="L4" s="21"/>
      <c r="M4" s="21"/>
      <c r="N4" s="21"/>
    </row>
    <row r="5" spans="1:14" ht="27" customHeight="1">
      <c r="A5" s="13" t="s">
        <v>5</v>
      </c>
      <c r="B5" s="16">
        <v>30</v>
      </c>
      <c r="C5" s="16">
        <v>20</v>
      </c>
      <c r="D5" s="17">
        <f>C5/SUM($C$4:$C$7)</f>
        <v>0.2</v>
      </c>
      <c r="E5" s="14">
        <f>B5*C5</f>
        <v>600</v>
      </c>
      <c r="F5" s="21"/>
      <c r="G5" s="21"/>
      <c r="H5" s="21"/>
      <c r="I5" s="21"/>
      <c r="J5" s="21"/>
      <c r="K5" s="21"/>
      <c r="L5" s="21"/>
      <c r="M5" s="21"/>
      <c r="N5" s="21"/>
    </row>
    <row r="6" spans="1:14" ht="27" customHeight="1">
      <c r="A6" s="13" t="s">
        <v>6</v>
      </c>
      <c r="B6" s="16">
        <v>40</v>
      </c>
      <c r="C6" s="16">
        <v>30</v>
      </c>
      <c r="D6" s="17">
        <f>C6/SUM($C$4:$C$7)</f>
        <v>0.3</v>
      </c>
      <c r="E6" s="14">
        <f>B6*C6</f>
        <v>1200</v>
      </c>
      <c r="F6" s="21"/>
      <c r="G6" s="21"/>
      <c r="H6" s="21"/>
      <c r="I6" s="21"/>
      <c r="J6" s="21"/>
      <c r="K6" s="21"/>
      <c r="L6" s="21"/>
      <c r="M6" s="21"/>
      <c r="N6" s="21"/>
    </row>
    <row r="7" spans="1:14" ht="27" customHeight="1">
      <c r="A7" s="13" t="s">
        <v>7</v>
      </c>
      <c r="B7" s="16">
        <v>50</v>
      </c>
      <c r="C7" s="16">
        <v>40</v>
      </c>
      <c r="D7" s="17">
        <f>C7/SUM($C$4:$C$7)</f>
        <v>0.4</v>
      </c>
      <c r="E7" s="14">
        <f>B7*C7</f>
        <v>2000</v>
      </c>
      <c r="F7" s="21"/>
      <c r="G7" s="21"/>
      <c r="H7" s="21"/>
      <c r="I7" s="21"/>
      <c r="J7" s="21"/>
      <c r="K7" s="21"/>
      <c r="L7" s="21"/>
      <c r="M7" s="21"/>
      <c r="N7" s="21"/>
    </row>
    <row r="8" spans="1:14" ht="74.099999999999994" customHeight="1">
      <c r="A8" s="4" t="s">
        <v>10</v>
      </c>
      <c r="B8" s="5"/>
      <c r="C8" s="6">
        <f>SUM(C4:C7)</f>
        <v>100</v>
      </c>
      <c r="D8" s="7">
        <f>SUM(D4:D7)</f>
        <v>1</v>
      </c>
      <c r="E8" s="6">
        <f>SUM(E4:E7)</f>
        <v>4000</v>
      </c>
    </row>
    <row r="10" spans="1:14" ht="59.1" customHeight="1">
      <c r="A10" s="13" t="s">
        <v>18</v>
      </c>
      <c r="B10" s="14">
        <f>C8</f>
        <v>100</v>
      </c>
    </row>
    <row r="11" spans="1:14" ht="59.45" customHeight="1">
      <c r="A11" s="2" t="s">
        <v>19</v>
      </c>
      <c r="B11" s="15">
        <f>E8/B10</f>
        <v>40</v>
      </c>
    </row>
    <row r="12" spans="1:14" hidden="1"/>
    <row r="13" spans="1:14" ht="81.95" customHeight="1">
      <c r="A13" s="22" t="s">
        <v>14</v>
      </c>
      <c r="B13" s="22"/>
    </row>
    <row r="14" spans="1:14" ht="75" customHeight="1">
      <c r="A14" s="3" t="s">
        <v>15</v>
      </c>
      <c r="B14" s="3" t="s">
        <v>16</v>
      </c>
    </row>
    <row r="15" spans="1:14" ht="56.45" customHeight="1">
      <c r="A15" s="9" t="s">
        <v>20</v>
      </c>
      <c r="B15" s="10">
        <f>AVERAGE(B4:B7)</f>
        <v>35</v>
      </c>
    </row>
    <row r="16" spans="1:14" ht="46.5" customHeight="1">
      <c r="A16" s="11" t="s">
        <v>17</v>
      </c>
      <c r="B16" s="12">
        <f>B11</f>
        <v>40</v>
      </c>
    </row>
    <row r="18" spans="1:17" ht="21.75" customHeight="1">
      <c r="A18" s="20" t="s">
        <v>11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7" ht="21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21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17" ht="21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ht="21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17" ht="21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</sheetData>
  <mergeCells count="5">
    <mergeCell ref="A1:H1"/>
    <mergeCell ref="A2:G2"/>
    <mergeCell ref="A18:Q23"/>
    <mergeCell ref="F4:N7"/>
    <mergeCell ref="A13:B13"/>
  </mergeCells>
  <phoneticPr fontId="23" type="noConversion"/>
  <pageMargins left="0.3" right="0.3" top="0.3" bottom="0.3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6559-63FE-43B3-A38E-90276193E7CA}">
  <dimension ref="A1:F10"/>
  <sheetViews>
    <sheetView tabSelected="1" zoomScale="180" zoomScaleNormal="180" workbookViewId="0">
      <selection activeCell="A5" sqref="A5:XFD5"/>
    </sheetView>
  </sheetViews>
  <sheetFormatPr defaultRowHeight="15"/>
  <cols>
    <col min="1" max="1" width="18.85546875" customWidth="1"/>
    <col min="2" max="2" width="17.28515625" customWidth="1"/>
    <col min="3" max="3" width="18.42578125" customWidth="1"/>
    <col min="4" max="4" width="26.85546875" bestFit="1" customWidth="1"/>
    <col min="5" max="5" width="13.5703125" customWidth="1"/>
    <col min="8" max="8" width="17.140625" bestFit="1" customWidth="1"/>
  </cols>
  <sheetData>
    <row r="1" spans="1:6" ht="21.75" customHeight="1">
      <c r="A1" s="23" t="s">
        <v>21</v>
      </c>
      <c r="B1" s="23" t="s">
        <v>24</v>
      </c>
      <c r="C1" s="23" t="s">
        <v>25</v>
      </c>
      <c r="D1" s="23" t="s">
        <v>22</v>
      </c>
      <c r="E1" s="23" t="s">
        <v>23</v>
      </c>
    </row>
    <row r="2" spans="1:6">
      <c r="A2">
        <v>1</v>
      </c>
      <c r="B2">
        <v>15</v>
      </c>
      <c r="C2">
        <v>10</v>
      </c>
      <c r="D2">
        <f>C2/C7</f>
        <v>0.1</v>
      </c>
      <c r="E2">
        <f>B2*C2</f>
        <v>150</v>
      </c>
    </row>
    <row r="3" spans="1:6">
      <c r="A3">
        <v>2</v>
      </c>
      <c r="B3">
        <v>20</v>
      </c>
      <c r="C3">
        <v>15</v>
      </c>
      <c r="D3">
        <f>C3/C7</f>
        <v>0.15</v>
      </c>
      <c r="E3">
        <f t="shared" ref="E3:E6" si="0">B3*C3</f>
        <v>300</v>
      </c>
    </row>
    <row r="4" spans="1:6">
      <c r="A4">
        <v>3</v>
      </c>
      <c r="B4">
        <v>25</v>
      </c>
      <c r="C4">
        <v>20</v>
      </c>
      <c r="D4">
        <f>C4/C7</f>
        <v>0.2</v>
      </c>
      <c r="E4">
        <f t="shared" si="0"/>
        <v>500</v>
      </c>
    </row>
    <row r="5" spans="1:6">
      <c r="A5">
        <v>4</v>
      </c>
      <c r="B5">
        <v>50</v>
      </c>
      <c r="C5">
        <v>35</v>
      </c>
      <c r="D5">
        <f>C5/C7</f>
        <v>0.35</v>
      </c>
      <c r="E5">
        <f t="shared" si="0"/>
        <v>1750</v>
      </c>
    </row>
    <row r="6" spans="1:6">
      <c r="A6">
        <v>5</v>
      </c>
      <c r="B6">
        <v>30</v>
      </c>
      <c r="C6">
        <v>20</v>
      </c>
      <c r="D6">
        <f>C6/C7</f>
        <v>0.2</v>
      </c>
      <c r="E6">
        <f t="shared" si="0"/>
        <v>600</v>
      </c>
    </row>
    <row r="7" spans="1:6">
      <c r="B7">
        <f>SUM(B2:B6)</f>
        <v>140</v>
      </c>
      <c r="C7">
        <f>SUM(C2:C6)</f>
        <v>100</v>
      </c>
      <c r="D7">
        <f>SUM(D2:D6)</f>
        <v>1</v>
      </c>
      <c r="E7">
        <f>SUM(E2:E6)</f>
        <v>3300</v>
      </c>
    </row>
    <row r="9" spans="1:6">
      <c r="D9" t="s">
        <v>26</v>
      </c>
      <c r="E9">
        <f>E7/C7</f>
        <v>33</v>
      </c>
      <c r="F9" t="s">
        <v>28</v>
      </c>
    </row>
    <row r="10" spans="1:6">
      <c r="D10" t="s">
        <v>27</v>
      </c>
      <c r="E10">
        <f>B7/5</f>
        <v>28</v>
      </c>
      <c r="F10" t="s">
        <v>28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Practice Example</vt:lpstr>
      <vt:lpstr>Sheet1</vt:lpstr>
      <vt:lpstr>'Practice Example'!Print_Area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김상민</cp:lastModifiedBy>
  <cp:revision>0</cp:revision>
  <dcterms:created xsi:type="dcterms:W3CDTF">2026-09-22T06:20:09Z</dcterms:created>
  <dcterms:modified xsi:type="dcterms:W3CDTF">2026-09-28T02:42:56Z</dcterms:modified>
  <dc:language>en-US</dc:language>
</cp:coreProperties>
</file>