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4E5D70-880D-49F2-925F-C2F4209438EF}" xr6:coauthVersionLast="47" xr6:coauthVersionMax="47" xr10:uidLastSave="{00000000-0000-0000-0000-000000000000}"/>
  <bookViews>
    <workbookView xWindow="38290" yWindow="-110" windowWidth="38620" windowHeight="21100" tabRatio="500" xr2:uid="{00000000-000D-0000-FFFF-FFFF00000000}"/>
  </bookViews>
  <sheets>
    <sheet name="Example" sheetId="1" r:id="rId1"/>
    <sheet name="Exercis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C31" i="2"/>
  <c r="B31" i="2"/>
  <c r="B24" i="2"/>
  <c r="D23" i="2"/>
  <c r="C23" i="2"/>
  <c r="B23" i="2"/>
  <c r="D22" i="2"/>
  <c r="B22" i="2"/>
  <c r="D21" i="2"/>
  <c r="C21" i="2"/>
  <c r="C18" i="2"/>
  <c r="H14" i="2"/>
  <c r="D27" i="2" s="1"/>
  <c r="D34" i="2" s="1"/>
  <c r="G14" i="2"/>
  <c r="C27" i="2" s="1"/>
  <c r="C34" i="2" s="1"/>
  <c r="F14" i="2"/>
  <c r="B27" i="2" s="1"/>
  <c r="B34" i="2" s="1"/>
  <c r="H13" i="2"/>
  <c r="D25" i="2" s="1"/>
  <c r="G13" i="2"/>
  <c r="F13" i="2"/>
  <c r="H12" i="2"/>
  <c r="G12" i="2"/>
  <c r="F12" i="2"/>
  <c r="B21" i="2" s="1"/>
  <c r="H11" i="2"/>
  <c r="D20" i="2" s="1"/>
  <c r="G11" i="2"/>
  <c r="C20" i="2" s="1"/>
  <c r="F11" i="2"/>
  <c r="B20" i="2" s="1"/>
  <c r="H10" i="2"/>
  <c r="D19" i="2" s="1"/>
  <c r="D32" i="2" s="1"/>
  <c r="G10" i="2"/>
  <c r="C19" i="2" s="1"/>
  <c r="F10" i="2"/>
  <c r="B19" i="2" s="1"/>
  <c r="B32" i="2" s="1"/>
  <c r="H9" i="2"/>
  <c r="G9" i="2"/>
  <c r="C25" i="2" s="1"/>
  <c r="F9" i="2"/>
  <c r="B25" i="2" s="1"/>
  <c r="H8" i="2"/>
  <c r="D24" i="2" s="1"/>
  <c r="G8" i="2"/>
  <c r="C24" i="2" s="1"/>
  <c r="F8" i="2"/>
  <c r="H6" i="2"/>
  <c r="D18" i="2" s="1"/>
  <c r="G6" i="2"/>
  <c r="F6" i="2"/>
  <c r="B18" i="2" s="1"/>
  <c r="C30" i="1"/>
  <c r="B26" i="1"/>
  <c r="B33" i="1" s="1"/>
  <c r="B22" i="1"/>
  <c r="C20" i="1"/>
  <c r="C19" i="1"/>
  <c r="C17" i="1"/>
  <c r="H13" i="1"/>
  <c r="D22" i="1" s="1"/>
  <c r="G13" i="1"/>
  <c r="C25" i="1" s="1"/>
  <c r="F13" i="1"/>
  <c r="B25" i="1" s="1"/>
  <c r="H12" i="1"/>
  <c r="D24" i="1" s="1"/>
  <c r="G12" i="1"/>
  <c r="C21" i="1" s="1"/>
  <c r="F12" i="1"/>
  <c r="B21" i="1" s="1"/>
  <c r="H11" i="1"/>
  <c r="D20" i="1" s="1"/>
  <c r="G11" i="1"/>
  <c r="F11" i="1"/>
  <c r="H10" i="1"/>
  <c r="G10" i="1"/>
  <c r="F10" i="1"/>
  <c r="H9" i="1"/>
  <c r="G9" i="1"/>
  <c r="F9" i="1"/>
  <c r="H8" i="1"/>
  <c r="D19" i="1" s="1"/>
  <c r="G8" i="1"/>
  <c r="F8" i="1"/>
  <c r="H7" i="1"/>
  <c r="D18" i="1" s="1"/>
  <c r="G7" i="1"/>
  <c r="F7" i="1"/>
  <c r="H5" i="1"/>
  <c r="D17" i="1" s="1"/>
  <c r="G5" i="1"/>
  <c r="F5" i="1"/>
  <c r="B17" i="1" s="1"/>
  <c r="D25" i="1" l="1"/>
  <c r="C26" i="1"/>
  <c r="C33" i="1" s="1"/>
  <c r="C23" i="1"/>
  <c r="D26" i="1"/>
  <c r="D33" i="1" s="1"/>
  <c r="B30" i="1"/>
  <c r="D21" i="1"/>
  <c r="D31" i="1" s="1"/>
  <c r="C24" i="1"/>
  <c r="D30" i="1"/>
  <c r="B23" i="1"/>
  <c r="C22" i="1"/>
  <c r="C18" i="1"/>
  <c r="C31" i="1" s="1"/>
  <c r="B18" i="1"/>
  <c r="C32" i="1"/>
  <c r="B31" i="1"/>
  <c r="C22" i="2"/>
  <c r="C32" i="2" s="1"/>
  <c r="D23" i="1"/>
  <c r="D32" i="1" s="1"/>
  <c r="B24" i="1"/>
  <c r="B32" i="1" s="1"/>
  <c r="B26" i="2"/>
  <c r="B33" i="2" s="1"/>
  <c r="C26" i="2"/>
  <c r="C33" i="2" s="1"/>
  <c r="D26" i="2"/>
  <c r="D33" i="2" s="1"/>
  <c r="D31" i="2"/>
</calcChain>
</file>

<file path=xl/sharedStrings.xml><?xml version="1.0" encoding="utf-8"?>
<sst xmlns="http://schemas.openxmlformats.org/spreadsheetml/2006/main" count="77" uniqueCount="36">
  <si>
    <r>
      <rPr>
        <b/>
        <sz val="12"/>
        <color rgb="FFFFFFFF"/>
        <rFont val="Arial"/>
        <charset val="1"/>
      </rPr>
      <t xml:space="preserve">DATA  (type here · </t>
    </r>
    <r>
      <rPr>
        <b/>
        <sz val="12"/>
        <color rgb="FFFFFFFF"/>
        <rFont val="Noto Sans CJK SC"/>
        <family val="2"/>
      </rPr>
      <t>입력</t>
    </r>
    <r>
      <rPr>
        <b/>
        <sz val="12"/>
        <color rgb="FFFFFFFF"/>
        <rFont val="Arial"/>
        <charset val="1"/>
      </rPr>
      <t>)</t>
    </r>
  </si>
  <si>
    <t>STEP 1  Average over growing areas</t>
  </si>
  <si>
    <t>Zone</t>
  </si>
  <si>
    <t>Zone I</t>
  </si>
  <si>
    <t>Zone II</t>
  </si>
  <si>
    <t>Zone III</t>
  </si>
  <si>
    <t>I</t>
  </si>
  <si>
    <t>I + II</t>
  </si>
  <si>
    <t>I + II + III</t>
  </si>
  <si>
    <t>Area (km²)</t>
  </si>
  <si>
    <t>km² →</t>
  </si>
  <si>
    <t>Time (h)</t>
  </si>
  <si>
    <t>cum. rain (mm)</t>
  </si>
  <si>
    <t>mean rain (mm)</t>
  </si>
  <si>
    <t>Area × rain, added up, ÷ total area.  Click G8 to see it.</t>
  </si>
  <si>
    <t>STEP 2  Rain in each window = end − start</t>
  </si>
  <si>
    <t>Window (h)</t>
  </si>
  <si>
    <t>2 h:  0→2</t>
  </si>
  <si>
    <t>2 h:  1→3</t>
  </si>
  <si>
    <t>2 h:  2→4</t>
  </si>
  <si>
    <t>2 h:  3→5</t>
  </si>
  <si>
    <t>2 h:  4→6</t>
  </si>
  <si>
    <t>4 h:  0→4</t>
  </si>
  <si>
    <t>4 h:  1→5</t>
  </si>
  <si>
    <t>4 h:  2→6</t>
  </si>
  <si>
    <t>6 h:  0→6</t>
  </si>
  <si>
    <t>Example: B19 = F10 − F8  (rain at 2 h minus rain at 0 h).</t>
  </si>
  <si>
    <t>STEP 3  Biggest window = DAD result</t>
  </si>
  <si>
    <t>Duration</t>
  </si>
  <si>
    <t>2 h</t>
  </si>
  <si>
    <t>4 h</t>
  </si>
  <si>
    <t>6 h</t>
  </si>
  <si>
    <t>MAX picks the biggest number in the group.  Bigger area → smaller · longer duration → bigger.</t>
  </si>
  <si>
    <t>Exercise — students: predict first, then check</t>
  </si>
  <si>
    <t>Different numbers, same steps. Before reading the table, guess: which is bigger, 2 h at 150 km² or 2 h at 700 km²?</t>
  </si>
  <si>
    <t>Lecture 4— DAD example (Depth · Area · Duration)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</si>
</sst>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&quot; km²&quot;"/>
  </numFmts>
  <fonts count="11">
    <font>
      <sz val="11"/>
      <color theme="1"/>
      <name val="Calibri"/>
      <family val="2"/>
      <charset val="1"/>
    </font>
    <font>
      <b/>
      <sz val="15"/>
      <color rgb="FF1B2A4A"/>
      <name val="Arial"/>
      <charset val="1"/>
    </font>
    <font>
      <sz val="10"/>
      <color rgb="FF51697A"/>
      <name val="Arial"/>
      <charset val="1"/>
    </font>
    <font>
      <b/>
      <sz val="12"/>
      <color rgb="FFFFFFFF"/>
      <name val="Arial"/>
      <charset val="1"/>
    </font>
    <font>
      <b/>
      <sz val="12"/>
      <color rgb="FFFFFFFF"/>
      <name val="Noto Sans CJK SC"/>
      <family val="2"/>
    </font>
    <font>
      <b/>
      <sz val="11"/>
      <name val="Arial"/>
      <charset val="1"/>
    </font>
    <font>
      <sz val="11"/>
      <color rgb="FF0000FF"/>
      <name val="Arial"/>
      <charset val="1"/>
    </font>
    <font>
      <sz val="9"/>
      <color rgb="FF51697A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i/>
      <sz val="10"/>
      <color rgb="FF51697A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C7293"/>
        <bgColor rgb="FF008080"/>
      </patternFill>
    </fill>
    <fill>
      <patternFill patternType="solid">
        <fgColor rgb="FFDCE6F1"/>
        <bgColor rgb="FFD9D9D9"/>
      </patternFill>
    </fill>
    <fill>
      <patternFill patternType="solid">
        <fgColor rgb="FFFFF4D6"/>
        <bgColor rgb="FFFFFFFF"/>
      </patternFill>
    </fill>
    <fill>
      <patternFill patternType="solid">
        <fgColor rgb="FFD98E04"/>
        <bgColor rgb="FFFF6600"/>
      </patternFill>
    </fill>
  </fills>
  <borders count="2">
    <border>
      <left/>
      <right/>
      <top/>
      <bottom/>
      <diagonal/>
    </border>
    <border>
      <left style="thin">
        <color rgb="FF9BB3CE"/>
      </left>
      <right style="thin">
        <color rgb="FF9BB3CE"/>
      </right>
      <top style="thin">
        <color rgb="FF9BB3CE"/>
      </top>
      <bottom style="thin">
        <color rgb="FF9BB3C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1" fontId="8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3" fillId="6" borderId="0" xfId="0" applyFont="1" applyFill="1"/>
    <xf numFmtId="0" fontId="0" fillId="6" borderId="0" xfId="0" applyFill="1"/>
    <xf numFmtId="165" fontId="5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9BB3CE"/>
      <rgbColor rgb="FF878787"/>
      <rgbColor rgb="FF9999FF"/>
      <rgbColor rgb="FFBE4B48"/>
      <rgbColor rgb="FFFFF4D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D98E04"/>
      <rgbColor rgb="FFFF6600"/>
      <rgbColor rgb="FF5169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DAD curves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 h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Example!$F$5:$H$5</c:f>
              <c:numCache>
                <c:formatCode>0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Example!$B$31:$D$31</c:f>
              <c:numCache>
                <c:formatCode>0.0</c:formatCode>
                <c:ptCount val="3"/>
                <c:pt idx="0">
                  <c:v>25</c:v>
                </c:pt>
                <c:pt idx="1">
                  <c:v>20.333333333333336</c:v>
                </c:pt>
                <c:pt idx="2">
                  <c:v>15.666666666666666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43-4A42-95AA-C2BA7D34736A}"/>
            </c:ext>
          </c:extLst>
        </c:ser>
        <c:ser>
          <c:idx val="1"/>
          <c:order val="1"/>
          <c:tx>
            <c:v>4 h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Example!$F$5:$H$5</c:f>
              <c:numCache>
                <c:formatCode>0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Example!$B$32:$D$32</c:f>
              <c:numCache>
                <c:formatCode>0.0</c:formatCode>
                <c:ptCount val="3"/>
                <c:pt idx="0">
                  <c:v>36</c:v>
                </c:pt>
                <c:pt idx="1">
                  <c:v>30</c:v>
                </c:pt>
                <c:pt idx="2">
                  <c:v>23.5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43-4A42-95AA-C2BA7D34736A}"/>
            </c:ext>
          </c:extLst>
        </c:ser>
        <c:ser>
          <c:idx val="2"/>
          <c:order val="2"/>
          <c:tx>
            <c:v>6 h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Example!$F$5:$H$5</c:f>
              <c:numCache>
                <c:formatCode>0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Example!$B$33:$D$33</c:f>
              <c:numCache>
                <c:formatCode>0.0</c:formatCode>
                <c:ptCount val="3"/>
                <c:pt idx="0">
                  <c:v>40</c:v>
                </c:pt>
                <c:pt idx="1">
                  <c:v>33.333333333333336</c:v>
                </c:pt>
                <c:pt idx="2">
                  <c:v>26.666666666666668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043-4A42-95AA-C2BA7D347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466215"/>
        <c:axId val="35247168"/>
      </c:lineChart>
      <c:catAx>
        <c:axId val="37466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Area (km²)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47168"/>
        <c:crosses val="autoZero"/>
        <c:auto val="1"/>
        <c:lblAlgn val="ctr"/>
        <c:lblOffset val="100"/>
        <c:noMultiLvlLbl val="0"/>
      </c:catAx>
      <c:valAx>
        <c:axId val="35247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Max mean depth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466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DAD curves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 h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Exercise!$F$6:$H$6</c:f>
              <c:numCache>
                <c:formatCode>0</c:formatCode>
                <c:ptCount val="3"/>
                <c:pt idx="0">
                  <c:v>150</c:v>
                </c:pt>
                <c:pt idx="1">
                  <c:v>400</c:v>
                </c:pt>
                <c:pt idx="2">
                  <c:v>700</c:v>
                </c:pt>
              </c:numCache>
            </c:numRef>
          </c:cat>
          <c:val>
            <c:numRef>
              <c:f>Exercise!$B$32:$D$32</c:f>
              <c:numCache>
                <c:formatCode>0.0</c:formatCode>
                <c:ptCount val="3"/>
                <c:pt idx="0">
                  <c:v>24</c:v>
                </c:pt>
                <c:pt idx="1">
                  <c:v>19</c:v>
                </c:pt>
                <c:pt idx="2">
                  <c:v>15.142857142857144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5-4F7D-9AFC-F3A6ECE69E5B}"/>
            </c:ext>
          </c:extLst>
        </c:ser>
        <c:ser>
          <c:idx val="1"/>
          <c:order val="1"/>
          <c:tx>
            <c:v>4 h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Exercise!$F$6:$H$6</c:f>
              <c:numCache>
                <c:formatCode>0</c:formatCode>
                <c:ptCount val="3"/>
                <c:pt idx="0">
                  <c:v>150</c:v>
                </c:pt>
                <c:pt idx="1">
                  <c:v>400</c:v>
                </c:pt>
                <c:pt idx="2">
                  <c:v>700</c:v>
                </c:pt>
              </c:numCache>
            </c:numRef>
          </c:cat>
          <c:val>
            <c:numRef>
              <c:f>Exercise!$B$33:$D$33</c:f>
              <c:numCache>
                <c:formatCode>0.0</c:formatCode>
                <c:ptCount val="3"/>
                <c:pt idx="0">
                  <c:v>36</c:v>
                </c:pt>
                <c:pt idx="1">
                  <c:v>29.75</c:v>
                </c:pt>
                <c:pt idx="2">
                  <c:v>23.857142857142858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F5-4F7D-9AFC-F3A6ECE69E5B}"/>
            </c:ext>
          </c:extLst>
        </c:ser>
        <c:ser>
          <c:idx val="2"/>
          <c:order val="2"/>
          <c:tx>
            <c:v>6 h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Exercise!$F$6:$H$6</c:f>
              <c:numCache>
                <c:formatCode>0</c:formatCode>
                <c:ptCount val="3"/>
                <c:pt idx="0">
                  <c:v>150</c:v>
                </c:pt>
                <c:pt idx="1">
                  <c:v>400</c:v>
                </c:pt>
                <c:pt idx="2">
                  <c:v>700</c:v>
                </c:pt>
              </c:numCache>
            </c:numRef>
          </c:cat>
          <c:val>
            <c:numRef>
              <c:f>Exercise!$B$34:$D$34</c:f>
              <c:numCache>
                <c:formatCode>0.0</c:formatCode>
                <c:ptCount val="3"/>
                <c:pt idx="0">
                  <c:v>42</c:v>
                </c:pt>
                <c:pt idx="1">
                  <c:v>34.5</c:v>
                </c:pt>
                <c:pt idx="2">
                  <c:v>27.857142857142858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F5-4F7D-9AFC-F3A6ECE69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376337"/>
        <c:axId val="10264162"/>
      </c:lineChart>
      <c:catAx>
        <c:axId val="643763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Area (km²)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64162"/>
        <c:crosses val="autoZero"/>
        <c:auto val="1"/>
        <c:lblAlgn val="ctr"/>
        <c:lblOffset val="100"/>
        <c:noMultiLvlLbl val="0"/>
      </c:catAx>
      <c:valAx>
        <c:axId val="10264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Max mean depth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376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89640</xdr:rowOff>
    </xdr:from>
    <xdr:to>
      <xdr:col>11</xdr:col>
      <xdr:colOff>33480</xdr:colOff>
      <xdr:row>30</xdr:row>
      <xdr:rowOff>101160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89640</xdr:rowOff>
    </xdr:from>
    <xdr:to>
      <xdr:col>11</xdr:col>
      <xdr:colOff>33480</xdr:colOff>
      <xdr:row>31</xdr:row>
      <xdr:rowOff>101160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tabSelected="1" zoomScale="268" zoomScaleNormal="268" workbookViewId="0">
      <selection activeCell="B2" sqref="B2"/>
    </sheetView>
  </sheetViews>
  <sheetFormatPr defaultColWidth="8.6328125" defaultRowHeight="14.5"/>
  <cols>
    <col min="1" max="1" width="16" customWidth="1"/>
    <col min="2" max="4" width="15" customWidth="1"/>
    <col min="5" max="5" width="8" customWidth="1"/>
    <col min="6" max="8" width="15" customWidth="1"/>
  </cols>
  <sheetData>
    <row r="1" spans="1:8" ht="19">
      <c r="A1" s="1" t="s">
        <v>35</v>
      </c>
    </row>
    <row r="3" spans="1:8" ht="15.5">
      <c r="A3" s="3" t="s">
        <v>0</v>
      </c>
      <c r="B3" s="4"/>
      <c r="C3" s="4"/>
      <c r="D3" s="4"/>
      <c r="F3" s="5" t="s">
        <v>1</v>
      </c>
      <c r="G3" s="6"/>
      <c r="H3" s="6"/>
    </row>
    <row r="4" spans="1:8">
      <c r="A4" s="7" t="s">
        <v>2</v>
      </c>
      <c r="B4" s="7" t="s">
        <v>3</v>
      </c>
      <c r="C4" s="7" t="s">
        <v>4</v>
      </c>
      <c r="D4" s="7" t="s">
        <v>5</v>
      </c>
      <c r="F4" s="7" t="s">
        <v>6</v>
      </c>
      <c r="G4" s="7" t="s">
        <v>7</v>
      </c>
      <c r="H4" s="7" t="s">
        <v>8</v>
      </c>
    </row>
    <row r="5" spans="1:8">
      <c r="A5" s="7" t="s">
        <v>9</v>
      </c>
      <c r="B5" s="8">
        <v>100</v>
      </c>
      <c r="C5" s="8">
        <v>200</v>
      </c>
      <c r="D5" s="8">
        <v>300</v>
      </c>
      <c r="E5" s="9" t="s">
        <v>10</v>
      </c>
      <c r="F5" s="10">
        <f>B5</f>
        <v>100</v>
      </c>
      <c r="G5" s="10">
        <f>B5+C5</f>
        <v>300</v>
      </c>
      <c r="H5" s="10">
        <f>B5+C5+D5</f>
        <v>600</v>
      </c>
    </row>
    <row r="6" spans="1:8">
      <c r="A6" s="7" t="s">
        <v>11</v>
      </c>
      <c r="B6" s="7" t="s">
        <v>12</v>
      </c>
      <c r="C6" s="7" t="s">
        <v>12</v>
      </c>
      <c r="D6" s="7" t="s">
        <v>12</v>
      </c>
      <c r="F6" s="7" t="s">
        <v>13</v>
      </c>
      <c r="G6" s="7" t="s">
        <v>13</v>
      </c>
      <c r="H6" s="7" t="s">
        <v>13</v>
      </c>
    </row>
    <row r="7" spans="1:8">
      <c r="A7" s="11">
        <v>0</v>
      </c>
      <c r="B7" s="12">
        <v>0</v>
      </c>
      <c r="C7" s="12">
        <v>0</v>
      </c>
      <c r="D7" s="12">
        <v>0</v>
      </c>
      <c r="F7" s="13">
        <f t="shared" ref="F7:F13" si="0">B7</f>
        <v>0</v>
      </c>
      <c r="G7" s="13">
        <f t="shared" ref="G7:G13" si="1">($B$5*B7+$C$5*C7)/($B$5+$C$5)</f>
        <v>0</v>
      </c>
      <c r="H7" s="13">
        <f t="shared" ref="H7:H13" si="2">($B$5*B7+$C$5*C7+$D$5*D7)/($B$5+$C$5+$D$5)</f>
        <v>0</v>
      </c>
    </row>
    <row r="8" spans="1:8">
      <c r="A8" s="11">
        <v>1</v>
      </c>
      <c r="B8" s="12">
        <v>5</v>
      </c>
      <c r="C8" s="12">
        <v>4</v>
      </c>
      <c r="D8" s="12">
        <v>3</v>
      </c>
      <c r="F8" s="13">
        <f t="shared" si="0"/>
        <v>5</v>
      </c>
      <c r="G8" s="13">
        <f t="shared" si="1"/>
        <v>4.333333333333333</v>
      </c>
      <c r="H8" s="13">
        <f t="shared" si="2"/>
        <v>3.6666666666666665</v>
      </c>
    </row>
    <row r="9" spans="1:8">
      <c r="A9" s="11">
        <v>2</v>
      </c>
      <c r="B9" s="12">
        <v>15</v>
      </c>
      <c r="C9" s="12">
        <v>11</v>
      </c>
      <c r="D9" s="12">
        <v>7</v>
      </c>
      <c r="F9" s="13">
        <f t="shared" si="0"/>
        <v>15</v>
      </c>
      <c r="G9" s="13">
        <f t="shared" si="1"/>
        <v>12.333333333333334</v>
      </c>
      <c r="H9" s="13">
        <f t="shared" si="2"/>
        <v>9.6666666666666661</v>
      </c>
    </row>
    <row r="10" spans="1:8">
      <c r="A10" s="11">
        <v>3</v>
      </c>
      <c r="B10" s="12">
        <v>30</v>
      </c>
      <c r="C10" s="12">
        <v>22</v>
      </c>
      <c r="D10" s="12">
        <v>14</v>
      </c>
      <c r="F10" s="13">
        <f t="shared" si="0"/>
        <v>30</v>
      </c>
      <c r="G10" s="13">
        <f t="shared" si="1"/>
        <v>24.666666666666668</v>
      </c>
      <c r="H10" s="13">
        <f t="shared" si="2"/>
        <v>19.333333333333332</v>
      </c>
    </row>
    <row r="11" spans="1:8">
      <c r="A11" s="11">
        <v>4</v>
      </c>
      <c r="B11" s="12">
        <v>36</v>
      </c>
      <c r="C11" s="12">
        <v>27</v>
      </c>
      <c r="D11" s="12">
        <v>17</v>
      </c>
      <c r="F11" s="13">
        <f t="shared" si="0"/>
        <v>36</v>
      </c>
      <c r="G11" s="13">
        <f t="shared" si="1"/>
        <v>30</v>
      </c>
      <c r="H11" s="13">
        <f t="shared" si="2"/>
        <v>23.5</v>
      </c>
    </row>
    <row r="12" spans="1:8">
      <c r="A12" s="11">
        <v>5</v>
      </c>
      <c r="B12" s="12">
        <v>39</v>
      </c>
      <c r="C12" s="12">
        <v>29</v>
      </c>
      <c r="D12" s="12">
        <v>19</v>
      </c>
      <c r="F12" s="13">
        <f t="shared" si="0"/>
        <v>39</v>
      </c>
      <c r="G12" s="13">
        <f t="shared" si="1"/>
        <v>32.333333333333336</v>
      </c>
      <c r="H12" s="13">
        <f t="shared" si="2"/>
        <v>25.666666666666668</v>
      </c>
    </row>
    <row r="13" spans="1:8">
      <c r="A13" s="11">
        <v>6</v>
      </c>
      <c r="B13" s="12">
        <v>40</v>
      </c>
      <c r="C13" s="12">
        <v>30</v>
      </c>
      <c r="D13" s="12">
        <v>20</v>
      </c>
      <c r="F13" s="13">
        <f t="shared" si="0"/>
        <v>40</v>
      </c>
      <c r="G13" s="13">
        <f t="shared" si="1"/>
        <v>33.333333333333336</v>
      </c>
      <c r="H13" s="13">
        <f t="shared" si="2"/>
        <v>26.666666666666668</v>
      </c>
    </row>
    <row r="14" spans="1:8">
      <c r="F14" s="14" t="s">
        <v>14</v>
      </c>
    </row>
    <row r="16" spans="1:8" ht="15.5">
      <c r="A16" s="15" t="s">
        <v>15</v>
      </c>
      <c r="B16" s="16"/>
      <c r="C16" s="16"/>
      <c r="D16" s="16"/>
    </row>
    <row r="17" spans="1:4">
      <c r="A17" s="7" t="s">
        <v>16</v>
      </c>
      <c r="B17" s="17">
        <f>F5</f>
        <v>100</v>
      </c>
      <c r="C17" s="17">
        <f>G5</f>
        <v>300</v>
      </c>
      <c r="D17" s="17">
        <f>H5</f>
        <v>600</v>
      </c>
    </row>
    <row r="18" spans="1:4">
      <c r="A18" s="18" t="s">
        <v>17</v>
      </c>
      <c r="B18" s="13">
        <f>F9-F7</f>
        <v>15</v>
      </c>
      <c r="C18" s="13">
        <f t="shared" ref="B18:D22" si="3">G9-G7</f>
        <v>12.333333333333334</v>
      </c>
      <c r="D18" s="13">
        <f t="shared" si="3"/>
        <v>9.6666666666666661</v>
      </c>
    </row>
    <row r="19" spans="1:4">
      <c r="A19" s="18" t="s">
        <v>18</v>
      </c>
      <c r="B19" s="13">
        <f t="shared" si="3"/>
        <v>25</v>
      </c>
      <c r="C19" s="13">
        <f t="shared" si="3"/>
        <v>20.333333333333336</v>
      </c>
      <c r="D19" s="13">
        <f t="shared" si="3"/>
        <v>15.666666666666666</v>
      </c>
    </row>
    <row r="20" spans="1:4">
      <c r="A20" s="18" t="s">
        <v>19</v>
      </c>
      <c r="B20" s="13">
        <f>F11-F9</f>
        <v>21</v>
      </c>
      <c r="C20" s="13">
        <f t="shared" si="3"/>
        <v>17.666666666666664</v>
      </c>
      <c r="D20" s="13">
        <f t="shared" si="3"/>
        <v>13.833333333333334</v>
      </c>
    </row>
    <row r="21" spans="1:4">
      <c r="A21" s="18" t="s">
        <v>20</v>
      </c>
      <c r="B21" s="13">
        <f t="shared" si="3"/>
        <v>9</v>
      </c>
      <c r="C21" s="13">
        <f t="shared" si="3"/>
        <v>7.6666666666666679</v>
      </c>
      <c r="D21" s="13">
        <f t="shared" si="3"/>
        <v>6.3333333333333357</v>
      </c>
    </row>
    <row r="22" spans="1:4">
      <c r="A22" s="18" t="s">
        <v>21</v>
      </c>
      <c r="B22" s="13">
        <f t="shared" si="3"/>
        <v>4</v>
      </c>
      <c r="C22" s="13">
        <f t="shared" si="3"/>
        <v>3.3333333333333357</v>
      </c>
      <c r="D22" s="13">
        <f t="shared" si="3"/>
        <v>3.1666666666666679</v>
      </c>
    </row>
    <row r="23" spans="1:4">
      <c r="A23" s="18" t="s">
        <v>22</v>
      </c>
      <c r="B23" s="13">
        <f t="shared" ref="B23:D25" si="4">F11-F7</f>
        <v>36</v>
      </c>
      <c r="C23" s="13">
        <f t="shared" si="4"/>
        <v>30</v>
      </c>
      <c r="D23" s="13">
        <f t="shared" si="4"/>
        <v>23.5</v>
      </c>
    </row>
    <row r="24" spans="1:4">
      <c r="A24" s="18" t="s">
        <v>23</v>
      </c>
      <c r="B24" s="13">
        <f t="shared" si="4"/>
        <v>34</v>
      </c>
      <c r="C24" s="13">
        <f t="shared" si="4"/>
        <v>28.000000000000004</v>
      </c>
      <c r="D24" s="13">
        <f t="shared" si="4"/>
        <v>22</v>
      </c>
    </row>
    <row r="25" spans="1:4">
      <c r="A25" s="18" t="s">
        <v>24</v>
      </c>
      <c r="B25" s="13">
        <f t="shared" si="4"/>
        <v>25</v>
      </c>
      <c r="C25" s="13">
        <f t="shared" si="4"/>
        <v>21</v>
      </c>
      <c r="D25" s="13">
        <f t="shared" si="4"/>
        <v>17</v>
      </c>
    </row>
    <row r="26" spans="1:4">
      <c r="A26" s="18" t="s">
        <v>25</v>
      </c>
      <c r="B26" s="13">
        <f>F13-F7</f>
        <v>40</v>
      </c>
      <c r="C26" s="13">
        <f>G13-G7</f>
        <v>33.333333333333336</v>
      </c>
      <c r="D26" s="13">
        <f>H13-H7</f>
        <v>26.666666666666668</v>
      </c>
    </row>
    <row r="27" spans="1:4">
      <c r="A27" s="14" t="s">
        <v>26</v>
      </c>
    </row>
    <row r="29" spans="1:4" ht="15.5">
      <c r="A29" s="15" t="s">
        <v>27</v>
      </c>
      <c r="B29" s="16"/>
      <c r="C29" s="16"/>
      <c r="D29" s="16"/>
    </row>
    <row r="30" spans="1:4">
      <c r="A30" s="7" t="s">
        <v>28</v>
      </c>
      <c r="B30" s="17">
        <f>F5</f>
        <v>100</v>
      </c>
      <c r="C30" s="17">
        <f>G5</f>
        <v>300</v>
      </c>
      <c r="D30" s="17">
        <f>H5</f>
        <v>600</v>
      </c>
    </row>
    <row r="31" spans="1:4">
      <c r="A31" s="18" t="s">
        <v>29</v>
      </c>
      <c r="B31" s="13">
        <f>MAX(B18:B22)</f>
        <v>25</v>
      </c>
      <c r="C31" s="13">
        <f>MAX(C18:C22)</f>
        <v>20.333333333333336</v>
      </c>
      <c r="D31" s="13">
        <f>MAX(D18:D22)</f>
        <v>15.666666666666666</v>
      </c>
    </row>
    <row r="32" spans="1:4">
      <c r="A32" s="18" t="s">
        <v>30</v>
      </c>
      <c r="B32" s="13">
        <f>MAX(B23:B25)</f>
        <v>36</v>
      </c>
      <c r="C32" s="13">
        <f>MAX(C23:C25)</f>
        <v>30</v>
      </c>
      <c r="D32" s="13">
        <f>MAX(D23:D25)</f>
        <v>23.5</v>
      </c>
    </row>
    <row r="33" spans="1:4">
      <c r="A33" s="18" t="s">
        <v>31</v>
      </c>
      <c r="B33" s="13">
        <f>MAX(B26:B26)</f>
        <v>40</v>
      </c>
      <c r="C33" s="13">
        <f>MAX(C26:C26)</f>
        <v>33.333333333333336</v>
      </c>
      <c r="D33" s="13">
        <f>MAX(D26:D26)</f>
        <v>26.666666666666668</v>
      </c>
    </row>
    <row r="35" spans="1:4">
      <c r="A35" s="14" t="s">
        <v>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showGridLines="0" zoomScaleNormal="100" workbookViewId="0">
      <selection activeCell="D11" sqref="D11"/>
    </sheetView>
  </sheetViews>
  <sheetFormatPr defaultColWidth="8.6328125" defaultRowHeight="14.5"/>
  <cols>
    <col min="1" max="1" width="16" customWidth="1"/>
    <col min="2" max="4" width="15" customWidth="1"/>
    <col min="5" max="5" width="8" customWidth="1"/>
    <col min="6" max="8" width="15" customWidth="1"/>
  </cols>
  <sheetData>
    <row r="1" spans="1:8" ht="19">
      <c r="A1" s="1" t="s">
        <v>33</v>
      </c>
    </row>
    <row r="2" spans="1:8">
      <c r="A2" s="2" t="s">
        <v>34</v>
      </c>
    </row>
    <row r="4" spans="1:8" ht="15.5">
      <c r="A4" s="3" t="s">
        <v>0</v>
      </c>
      <c r="B4" s="4"/>
      <c r="C4" s="4"/>
      <c r="D4" s="4"/>
      <c r="F4" s="5" t="s">
        <v>1</v>
      </c>
      <c r="G4" s="6"/>
      <c r="H4" s="6"/>
    </row>
    <row r="5" spans="1:8">
      <c r="A5" s="7" t="s">
        <v>2</v>
      </c>
      <c r="B5" s="7" t="s">
        <v>3</v>
      </c>
      <c r="C5" s="7" t="s">
        <v>4</v>
      </c>
      <c r="D5" s="7" t="s">
        <v>5</v>
      </c>
      <c r="F5" s="7" t="s">
        <v>6</v>
      </c>
      <c r="G5" s="7" t="s">
        <v>7</v>
      </c>
      <c r="H5" s="7" t="s">
        <v>8</v>
      </c>
    </row>
    <row r="6" spans="1:8">
      <c r="A6" s="7" t="s">
        <v>9</v>
      </c>
      <c r="B6" s="8">
        <v>150</v>
      </c>
      <c r="C6" s="8">
        <v>250</v>
      </c>
      <c r="D6" s="8">
        <v>300</v>
      </c>
      <c r="E6" s="9" t="s">
        <v>10</v>
      </c>
      <c r="F6" s="10">
        <f>B6</f>
        <v>150</v>
      </c>
      <c r="G6" s="10">
        <f>B6+C6</f>
        <v>400</v>
      </c>
      <c r="H6" s="10">
        <f>B6+C6+D6</f>
        <v>700</v>
      </c>
    </row>
    <row r="7" spans="1:8">
      <c r="A7" s="7" t="s">
        <v>11</v>
      </c>
      <c r="B7" s="7" t="s">
        <v>12</v>
      </c>
      <c r="C7" s="7" t="s">
        <v>12</v>
      </c>
      <c r="D7" s="7" t="s">
        <v>12</v>
      </c>
      <c r="F7" s="7" t="s">
        <v>13</v>
      </c>
      <c r="G7" s="7" t="s">
        <v>13</v>
      </c>
      <c r="H7" s="7" t="s">
        <v>13</v>
      </c>
    </row>
    <row r="8" spans="1:8">
      <c r="A8" s="11">
        <v>0</v>
      </c>
      <c r="B8" s="12">
        <v>0</v>
      </c>
      <c r="C8" s="12">
        <v>0</v>
      </c>
      <c r="D8" s="12">
        <v>0</v>
      </c>
      <c r="F8" s="13">
        <f t="shared" ref="F8:F14" si="0">B8</f>
        <v>0</v>
      </c>
      <c r="G8" s="13">
        <f t="shared" ref="G8:G14" si="1">($B$6*B8+$C$6*C8)/($B$6+$C$6)</f>
        <v>0</v>
      </c>
      <c r="H8" s="13">
        <f t="shared" ref="H8:H14" si="2">($B$6*B8+$C$6*C8+$D$6*D8)/($B$6+$C$6+$D$6)</f>
        <v>0</v>
      </c>
    </row>
    <row r="9" spans="1:8">
      <c r="A9" s="11">
        <v>1</v>
      </c>
      <c r="B9" s="12">
        <v>6</v>
      </c>
      <c r="C9" s="12">
        <v>4</v>
      </c>
      <c r="D9" s="12">
        <v>2</v>
      </c>
      <c r="F9" s="13">
        <f t="shared" si="0"/>
        <v>6</v>
      </c>
      <c r="G9" s="13">
        <f t="shared" si="1"/>
        <v>4.75</v>
      </c>
      <c r="H9" s="13">
        <f t="shared" si="2"/>
        <v>3.5714285714285716</v>
      </c>
    </row>
    <row r="10" spans="1:8">
      <c r="A10" s="11">
        <v>2</v>
      </c>
      <c r="B10" s="12">
        <v>18</v>
      </c>
      <c r="C10" s="12">
        <v>12</v>
      </c>
      <c r="D10" s="12">
        <v>6</v>
      </c>
      <c r="F10" s="13">
        <f t="shared" si="0"/>
        <v>18</v>
      </c>
      <c r="G10" s="13">
        <f t="shared" si="1"/>
        <v>14.25</v>
      </c>
      <c r="H10" s="13">
        <f t="shared" si="2"/>
        <v>10.714285714285714</v>
      </c>
    </row>
    <row r="11" spans="1:8">
      <c r="A11" s="11">
        <v>3</v>
      </c>
      <c r="B11" s="12">
        <v>30</v>
      </c>
      <c r="C11" s="12">
        <v>20</v>
      </c>
      <c r="D11" s="12">
        <v>12</v>
      </c>
      <c r="F11" s="13">
        <f t="shared" si="0"/>
        <v>30</v>
      </c>
      <c r="G11" s="13">
        <f t="shared" si="1"/>
        <v>23.75</v>
      </c>
      <c r="H11" s="13">
        <f t="shared" si="2"/>
        <v>18.714285714285715</v>
      </c>
    </row>
    <row r="12" spans="1:8">
      <c r="A12" s="11">
        <v>4</v>
      </c>
      <c r="B12" s="12">
        <v>36</v>
      </c>
      <c r="C12" s="12">
        <v>26</v>
      </c>
      <c r="D12" s="12">
        <v>16</v>
      </c>
      <c r="F12" s="13">
        <f t="shared" si="0"/>
        <v>36</v>
      </c>
      <c r="G12" s="13">
        <f t="shared" si="1"/>
        <v>29.75</v>
      </c>
      <c r="H12" s="13">
        <f t="shared" si="2"/>
        <v>23.857142857142858</v>
      </c>
    </row>
    <row r="13" spans="1:8">
      <c r="A13" s="11">
        <v>5</v>
      </c>
      <c r="B13" s="12">
        <v>40</v>
      </c>
      <c r="C13" s="12">
        <v>29</v>
      </c>
      <c r="D13" s="12">
        <v>18</v>
      </c>
      <c r="F13" s="13">
        <f t="shared" si="0"/>
        <v>40</v>
      </c>
      <c r="G13" s="13">
        <f t="shared" si="1"/>
        <v>33.125</v>
      </c>
      <c r="H13" s="13">
        <f t="shared" si="2"/>
        <v>26.642857142857142</v>
      </c>
    </row>
    <row r="14" spans="1:8">
      <c r="A14" s="11">
        <v>6</v>
      </c>
      <c r="B14" s="12">
        <v>42</v>
      </c>
      <c r="C14" s="12">
        <v>30</v>
      </c>
      <c r="D14" s="12">
        <v>19</v>
      </c>
      <c r="F14" s="13">
        <f t="shared" si="0"/>
        <v>42</v>
      </c>
      <c r="G14" s="13">
        <f t="shared" si="1"/>
        <v>34.5</v>
      </c>
      <c r="H14" s="13">
        <f t="shared" si="2"/>
        <v>27.857142857142858</v>
      </c>
    </row>
    <row r="15" spans="1:8">
      <c r="F15" s="14" t="s">
        <v>14</v>
      </c>
    </row>
    <row r="17" spans="1:4" ht="15.5">
      <c r="A17" s="15" t="s">
        <v>15</v>
      </c>
      <c r="B17" s="16"/>
      <c r="C17" s="16"/>
      <c r="D17" s="16"/>
    </row>
    <row r="18" spans="1:4">
      <c r="A18" s="7" t="s">
        <v>16</v>
      </c>
      <c r="B18" s="17">
        <f>F6</f>
        <v>150</v>
      </c>
      <c r="C18" s="17">
        <f>G6</f>
        <v>400</v>
      </c>
      <c r="D18" s="17">
        <f>H6</f>
        <v>700</v>
      </c>
    </row>
    <row r="19" spans="1:4">
      <c r="A19" s="18" t="s">
        <v>17</v>
      </c>
      <c r="B19" s="13">
        <f t="shared" ref="B19:D23" si="3">F10-F8</f>
        <v>18</v>
      </c>
      <c r="C19" s="13">
        <f t="shared" si="3"/>
        <v>14.25</v>
      </c>
      <c r="D19" s="13">
        <f t="shared" si="3"/>
        <v>10.714285714285714</v>
      </c>
    </row>
    <row r="20" spans="1:4">
      <c r="A20" s="18" t="s">
        <v>18</v>
      </c>
      <c r="B20" s="13">
        <f t="shared" si="3"/>
        <v>24</v>
      </c>
      <c r="C20" s="13">
        <f t="shared" si="3"/>
        <v>19</v>
      </c>
      <c r="D20" s="13">
        <f t="shared" si="3"/>
        <v>15.142857142857144</v>
      </c>
    </row>
    <row r="21" spans="1:4">
      <c r="A21" s="18" t="s">
        <v>19</v>
      </c>
      <c r="B21" s="13">
        <f t="shared" si="3"/>
        <v>18</v>
      </c>
      <c r="C21" s="13">
        <f t="shared" si="3"/>
        <v>15.5</v>
      </c>
      <c r="D21" s="13">
        <f t="shared" si="3"/>
        <v>13.142857142857144</v>
      </c>
    </row>
    <row r="22" spans="1:4">
      <c r="A22" s="18" t="s">
        <v>20</v>
      </c>
      <c r="B22" s="13">
        <f t="shared" si="3"/>
        <v>10</v>
      </c>
      <c r="C22" s="13">
        <f t="shared" si="3"/>
        <v>9.375</v>
      </c>
      <c r="D22" s="13">
        <f t="shared" si="3"/>
        <v>7.928571428571427</v>
      </c>
    </row>
    <row r="23" spans="1:4">
      <c r="A23" s="18" t="s">
        <v>21</v>
      </c>
      <c r="B23" s="13">
        <f t="shared" si="3"/>
        <v>6</v>
      </c>
      <c r="C23" s="13">
        <f t="shared" si="3"/>
        <v>4.75</v>
      </c>
      <c r="D23" s="13">
        <f t="shared" si="3"/>
        <v>4</v>
      </c>
    </row>
    <row r="24" spans="1:4">
      <c r="A24" s="18" t="s">
        <v>22</v>
      </c>
      <c r="B24" s="13">
        <f t="shared" ref="B24:D26" si="4">F12-F8</f>
        <v>36</v>
      </c>
      <c r="C24" s="13">
        <f t="shared" si="4"/>
        <v>29.75</v>
      </c>
      <c r="D24" s="13">
        <f t="shared" si="4"/>
        <v>23.857142857142858</v>
      </c>
    </row>
    <row r="25" spans="1:4">
      <c r="A25" s="18" t="s">
        <v>23</v>
      </c>
      <c r="B25" s="13">
        <f t="shared" si="4"/>
        <v>34</v>
      </c>
      <c r="C25" s="13">
        <f t="shared" si="4"/>
        <v>28.375</v>
      </c>
      <c r="D25" s="13">
        <f t="shared" si="4"/>
        <v>23.071428571428569</v>
      </c>
    </row>
    <row r="26" spans="1:4">
      <c r="A26" s="18" t="s">
        <v>24</v>
      </c>
      <c r="B26" s="13">
        <f t="shared" si="4"/>
        <v>24</v>
      </c>
      <c r="C26" s="13">
        <f t="shared" si="4"/>
        <v>20.25</v>
      </c>
      <c r="D26" s="13">
        <f t="shared" si="4"/>
        <v>17.142857142857146</v>
      </c>
    </row>
    <row r="27" spans="1:4">
      <c r="A27" s="18" t="s">
        <v>25</v>
      </c>
      <c r="B27" s="13">
        <f>F14-F8</f>
        <v>42</v>
      </c>
      <c r="C27" s="13">
        <f>G14-G8</f>
        <v>34.5</v>
      </c>
      <c r="D27" s="13">
        <f>H14-H8</f>
        <v>27.857142857142858</v>
      </c>
    </row>
    <row r="28" spans="1:4">
      <c r="A28" s="14" t="s">
        <v>26</v>
      </c>
    </row>
    <row r="30" spans="1:4" ht="15.5">
      <c r="A30" s="15" t="s">
        <v>27</v>
      </c>
      <c r="B30" s="16"/>
      <c r="C30" s="16"/>
      <c r="D30" s="16"/>
    </row>
    <row r="31" spans="1:4">
      <c r="A31" s="7" t="s">
        <v>28</v>
      </c>
      <c r="B31" s="17">
        <f>F6</f>
        <v>150</v>
      </c>
      <c r="C31" s="17">
        <f>G6</f>
        <v>400</v>
      </c>
      <c r="D31" s="17">
        <f>H6</f>
        <v>700</v>
      </c>
    </row>
    <row r="32" spans="1:4">
      <c r="A32" s="18" t="s">
        <v>29</v>
      </c>
      <c r="B32" s="13">
        <f>MAX(B19:B23)</f>
        <v>24</v>
      </c>
      <c r="C32" s="13">
        <f>MAX(C19:C23)</f>
        <v>19</v>
      </c>
      <c r="D32" s="13">
        <f>MAX(D19:D23)</f>
        <v>15.142857142857144</v>
      </c>
    </row>
    <row r="33" spans="1:4">
      <c r="A33" s="18" t="s">
        <v>30</v>
      </c>
      <c r="B33" s="13">
        <f>MAX(B24:B26)</f>
        <v>36</v>
      </c>
      <c r="C33" s="13">
        <f>MAX(C24:C26)</f>
        <v>29.75</v>
      </c>
      <c r="D33" s="13">
        <f>MAX(D24:D26)</f>
        <v>23.857142857142858</v>
      </c>
    </row>
    <row r="34" spans="1:4">
      <c r="A34" s="18" t="s">
        <v>31</v>
      </c>
      <c r="B34" s="13">
        <f>MAX(B27:B27)</f>
        <v>42</v>
      </c>
      <c r="C34" s="13">
        <f>MAX(C27:C27)</f>
        <v>34.5</v>
      </c>
      <c r="D34" s="13">
        <f>MAX(D27:D27)</f>
        <v>27.857142857142858</v>
      </c>
    </row>
    <row r="36" spans="1:4">
      <c r="A36" s="14" t="s">
        <v>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WAQAS</cp:lastModifiedBy>
  <cp:revision>1</cp:revision>
  <dcterms:created xsi:type="dcterms:W3CDTF">2026-09-30T00:47:16Z</dcterms:created>
  <dcterms:modified xsi:type="dcterms:W3CDTF">2026-10-01T00:51:49Z</dcterms:modified>
  <dc:language>en-US</dc:language>
</cp:coreProperties>
</file>