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FC5131F-26CC-425B-92A0-1D600B3D76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eek2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D7" i="3"/>
  <c r="D3" i="3"/>
  <c r="D4" i="3"/>
  <c r="D5" i="3"/>
  <c r="D6" i="3"/>
  <c r="D2" i="3"/>
  <c r="B7" i="3"/>
  <c r="B6" i="2"/>
  <c r="D20" i="1"/>
  <c r="D19" i="1"/>
  <c r="B19" i="1"/>
  <c r="D18" i="1"/>
  <c r="D17" i="1"/>
  <c r="D16" i="1"/>
  <c r="B9" i="1"/>
</calcChain>
</file>

<file path=xl/sharedStrings.xml><?xml version="1.0" encoding="utf-8"?>
<sst xmlns="http://schemas.openxmlformats.org/spreadsheetml/2006/main" count="55" uniqueCount="38">
  <si>
    <r>
      <t xml:space="preserve">Week 2 —  Precipitation Estimation
</t>
    </r>
    <r>
      <rPr>
        <sz val="16"/>
        <color rgb="FF7030A0"/>
        <rFont val="Times New Roman"/>
      </rPr>
      <t>2주차 — 강수량 산정</t>
    </r>
  </si>
  <si>
    <r>
      <t xml:space="preserve">Average calculator + area-weighted rainfall table (Pw = ΣAP ÷ ΣA)
</t>
    </r>
    <r>
      <rPr>
        <sz val="17"/>
        <color rgb="FF7030A0"/>
        <rFont val="Times New Roman"/>
      </rPr>
      <t>평균 계산기 + 면적가중 강우량 표 (Pw = ΣAP ÷ ΣA)</t>
    </r>
  </si>
  <si>
    <r>
      <t xml:space="preserve">AVERAGE CALCULATOR
</t>
    </r>
    <r>
      <rPr>
        <sz val="11"/>
        <color rgb="FF7030A0"/>
        <rFont val="Times New Roman"/>
      </rPr>
      <t>평균 계산기</t>
    </r>
  </si>
  <si>
    <r>
      <t xml:space="preserve">Quantity
</t>
    </r>
    <r>
      <rPr>
        <sz val="11"/>
        <color rgb="FF7030A0"/>
        <rFont val="Times New Roman"/>
      </rPr>
      <t>물리량</t>
    </r>
  </si>
  <si>
    <r>
      <t xml:space="preserve">Value
</t>
    </r>
    <r>
      <rPr>
        <sz val="11"/>
        <color rgb="FF7030A0"/>
        <rFont val="Times New Roman"/>
      </rPr>
      <t>값</t>
    </r>
  </si>
  <si>
    <r>
      <t xml:space="preserve">Average
</t>
    </r>
    <r>
      <rPr>
        <sz val="11"/>
        <color rgb="FF7030A0"/>
        <rFont val="Times New Roman"/>
      </rPr>
      <t>평균</t>
    </r>
  </si>
  <si>
    <t>→ Check: 10, 20, 30 should give average = 20.</t>
  </si>
  <si>
    <t>→ 확인: 10, 20, 30 의 평균은 20 이어야 한다.</t>
  </si>
  <si>
    <r>
      <t xml:space="preserve">WEIGHTED RAINFALL TABLE  =  Pw = ΣAP ÷ ΣA  (Eqn 2.2)
</t>
    </r>
    <r>
      <rPr>
        <sz val="15"/>
        <color rgb="FF7030A0"/>
        <rFont val="Times New Roman"/>
      </rPr>
      <t>가중 강우량 표  =  Pw = ΣAP ÷ ΣA  (식 2.2)</t>
    </r>
  </si>
  <si>
    <r>
      <t xml:space="preserve">Gauge
</t>
    </r>
    <r>
      <rPr>
        <sz val="11"/>
        <color rgb="FF7030A0"/>
        <rFont val="Times New Roman"/>
      </rPr>
      <t>지점</t>
    </r>
  </si>
  <si>
    <r>
      <t xml:space="preserve">Area (km²)
</t>
    </r>
    <r>
      <rPr>
        <sz val="11"/>
        <color rgb="FF7030A0"/>
        <rFont val="Times New Roman"/>
      </rPr>
      <t>면적 (km²)</t>
    </r>
  </si>
  <si>
    <r>
      <t xml:space="preserve">Rainfall (mm)
</t>
    </r>
    <r>
      <rPr>
        <sz val="11"/>
        <color rgb="FF7030A0"/>
        <rFont val="Times New Roman"/>
      </rPr>
      <t>강우량 (mm)</t>
    </r>
  </si>
  <si>
    <r>
      <t xml:space="preserve">Area × Rainfall
</t>
    </r>
    <r>
      <rPr>
        <sz val="11"/>
        <color rgb="FF7030A0"/>
        <rFont val="Times New Roman"/>
      </rPr>
      <t>면적 × 강우량</t>
    </r>
  </si>
  <si>
    <r>
      <t xml:space="preserve">Gauge A covers the most area (40 km²), so it has the biggest effect on the average. Gauge B and Gauge C cover less area, so they matter less — even though Gauge C measured the most rain of all three.
</t>
    </r>
    <r>
      <rPr>
        <sz val="13"/>
        <color rgb="FF7030A0"/>
        <rFont val="Times New Roman"/>
      </rPr>
      <t>지점 A는 가장 넓은 면적(40km²)을 차지하므로 평균에 가장 큰 영향을 준다. 지점 B와 지점 C는 면적이 더 작아서 영향이 작다 — 지점 C가 셋 중 가장 많은 비가 왔는데도 그렇다.</t>
    </r>
  </si>
  <si>
    <r>
      <t xml:space="preserve">Gauge A
</t>
    </r>
    <r>
      <rPr>
        <sz val="11"/>
        <color rgb="FF7030A0"/>
        <rFont val="Times New Roman"/>
      </rPr>
      <t>지점 A</t>
    </r>
  </si>
  <si>
    <r>
      <t xml:space="preserve">Gauge B
</t>
    </r>
    <r>
      <rPr>
        <sz val="11"/>
        <color rgb="FF7030A0"/>
        <rFont val="Times New Roman"/>
      </rPr>
      <t>지점 B</t>
    </r>
  </si>
  <si>
    <r>
      <t xml:space="preserve">Gauge C
</t>
    </r>
    <r>
      <rPr>
        <sz val="11"/>
        <color rgb="FF7030A0"/>
        <rFont val="Times New Roman"/>
      </rPr>
      <t>지점 C</t>
    </r>
  </si>
  <si>
    <r>
      <t xml:space="preserve">TOTAL
</t>
    </r>
    <r>
      <rPr>
        <sz val="11"/>
        <color rgb="FF7030A0"/>
        <rFont val="Times New Roman"/>
      </rPr>
      <t>합계</t>
    </r>
  </si>
  <si>
    <r>
      <t xml:space="preserve">Weighted average (mm)
</t>
    </r>
    <r>
      <rPr>
        <sz val="11"/>
        <color rgb="FF7030A0"/>
        <rFont val="Times New Roman"/>
      </rPr>
      <t>가중평균 (mm)</t>
    </r>
  </si>
  <si>
    <r>
      <t xml:space="preserve">Station 1
</t>
    </r>
    <r>
      <rPr>
        <sz val="11"/>
        <color rgb="FF7030A0"/>
        <rFont val="Times New Roman"/>
      </rPr>
      <t>숫자 1</t>
    </r>
  </si>
  <si>
    <r>
      <t xml:space="preserve">Station 2
</t>
    </r>
    <r>
      <rPr>
        <sz val="11"/>
        <color rgb="FF7030A0"/>
        <rFont val="Times New Roman"/>
      </rPr>
      <t>숫자 2</t>
    </r>
  </si>
  <si>
    <r>
      <t xml:space="preserve">Station 3
</t>
    </r>
    <r>
      <rPr>
        <sz val="11"/>
        <color rgb="FF7030A0"/>
        <rFont val="Times New Roman"/>
      </rPr>
      <t>숫자 3</t>
    </r>
  </si>
  <si>
    <t>Station 1</t>
    <phoneticPr fontId="13" type="noConversion"/>
  </si>
  <si>
    <t xml:space="preserve">Sataion 2 </t>
    <phoneticPr fontId="13" type="noConversion"/>
  </si>
  <si>
    <t>Station 3</t>
  </si>
  <si>
    <t>Station 3</t>
    <phoneticPr fontId="13" type="noConversion"/>
  </si>
  <si>
    <t>Station 4</t>
  </si>
  <si>
    <t>Station 5</t>
  </si>
  <si>
    <t xml:space="preserve">Average Method </t>
    <phoneticPr fontId="13" type="noConversion"/>
  </si>
  <si>
    <t xml:space="preserve">Total number of stations </t>
    <phoneticPr fontId="13" type="noConversion"/>
  </si>
  <si>
    <t>mm</t>
    <phoneticPr fontId="13" type="noConversion"/>
  </si>
  <si>
    <t>Station 2</t>
  </si>
  <si>
    <t xml:space="preserve">Rain Gauge </t>
    <phoneticPr fontId="13" type="noConversion"/>
  </si>
  <si>
    <t>Area (Km2)</t>
    <phoneticPr fontId="13" type="noConversion"/>
  </si>
  <si>
    <t xml:space="preserve">Rainfall (mm) </t>
    <phoneticPr fontId="13" type="noConversion"/>
  </si>
  <si>
    <r>
      <t>Total Area (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맑은 고딕"/>
        <family val="2"/>
        <scheme val="minor"/>
      </rPr>
      <t xml:space="preserve">A) </t>
    </r>
    <phoneticPr fontId="13" type="noConversion"/>
  </si>
  <si>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Calibri"/>
        <family val="2"/>
      </rPr>
      <t>AP</t>
    </r>
    <phoneticPr fontId="13" type="noConversion"/>
  </si>
  <si>
    <t>Pw = ΣAP ÷ ΣA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</si>
</sst>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맑은 고딕"/>
      <family val="2"/>
      <scheme val="minor"/>
    </font>
    <font>
      <b/>
      <sz val="16"/>
      <name val="Times New Roman"/>
    </font>
    <font>
      <b/>
      <sz val="17"/>
      <name val="Times New Roman"/>
    </font>
    <font>
      <b/>
      <sz val="11"/>
      <name val="Times New Roman"/>
    </font>
    <font>
      <sz val="11"/>
      <name val="Times New Roman"/>
    </font>
    <font>
      <b/>
      <sz val="15"/>
      <name val="Times New Roman"/>
    </font>
    <font>
      <sz val="13"/>
      <name val="Times New Roman"/>
    </font>
    <font>
      <sz val="16"/>
      <color rgb="FF7030A0"/>
      <name val="Times New Roman"/>
    </font>
    <font>
      <sz val="17"/>
      <color rgb="FF7030A0"/>
      <name val="Times New Roman"/>
    </font>
    <font>
      <sz val="11"/>
      <color rgb="FF7030A0"/>
      <name val="Times New Roman"/>
    </font>
    <font>
      <sz val="15"/>
      <color rgb="FF7030A0"/>
      <name val="Times New Roman"/>
    </font>
    <font>
      <sz val="13"/>
      <color rgb="FF7030A0"/>
      <name val="Times New Roman"/>
    </font>
    <font>
      <i/>
      <sz val="14"/>
      <name val="Times New Roman"/>
      <family val="1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EF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4" borderId="0" xfId="0" applyFill="1"/>
    <xf numFmtId="0" fontId="1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Rainfall by Gauge (mm)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14030064423761E-2"/>
          <c:y val="4.5256825655413765E-2"/>
          <c:w val="0.89163445478406111"/>
          <c:h val="0.6037363260626904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Week2!$C$15</c:f>
              <c:strCache>
                <c:ptCount val="1"/>
                <c:pt idx="0">
                  <c:v>Rainfall (mm)
강우량 (mm)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A1-4055-A72A-093A616C1A5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1-4055-A72A-093A616C1A5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A1-4055-A72A-093A616C1A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Week2!$A$16:$A$18</c:f>
              <c:strCache>
                <c:ptCount val="3"/>
                <c:pt idx="0">
                  <c:v>Gauge A
지점 A</c:v>
                </c:pt>
                <c:pt idx="1">
                  <c:v>Gauge B
지점 B</c:v>
                </c:pt>
                <c:pt idx="2">
                  <c:v>Gauge C
지점 C</c:v>
                </c:pt>
              </c:strCache>
            </c:strRef>
          </c:cat>
          <c:val>
            <c:numRef>
              <c:f>Week2!$C$16:$C$18</c:f>
              <c:numCache>
                <c:formatCode>General</c:formatCode>
                <c:ptCount val="3"/>
                <c:pt idx="0">
                  <c:v>100</c:v>
                </c:pt>
                <c:pt idx="1">
                  <c:v>80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A-4C55-8036-771482C66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Gauge</a:t>
                </a:r>
              </a:p>
            </c:rich>
          </c:tx>
          <c:layout>
            <c:manualLayout>
              <c:xMode val="edge"/>
              <c:yMode val="edge"/>
              <c:x val="0.49252988004598597"/>
              <c:y val="0.8232358886173711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Rainfall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627188130409311E-2"/>
          <c:y val="0.84469182731468906"/>
          <c:w val="0.94429383310557258"/>
          <c:h val="0.13691736808760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Rainfall (mm)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Sheet2!$A$2:$A$6</c:f>
              <c:strCache>
                <c:ptCount val="5"/>
                <c:pt idx="0">
                  <c:v>Station 1</c:v>
                </c:pt>
                <c:pt idx="1">
                  <c:v>Station 2</c:v>
                </c:pt>
                <c:pt idx="2">
                  <c:v>Station 3</c:v>
                </c:pt>
                <c:pt idx="3">
                  <c:v>Station 4</c:v>
                </c:pt>
                <c:pt idx="4">
                  <c:v>Station 5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90</c:v>
                </c:pt>
                <c:pt idx="1">
                  <c:v>75</c:v>
                </c:pt>
                <c:pt idx="2">
                  <c:v>60</c:v>
                </c:pt>
                <c:pt idx="3">
                  <c:v>50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B-4B14-AA0F-34ABA145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388671"/>
        <c:axId val="817753167"/>
        <c:axId val="0"/>
      </c:bar3DChart>
      <c:catAx>
        <c:axId val="1073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7753167"/>
        <c:crosses val="autoZero"/>
        <c:auto val="1"/>
        <c:lblAlgn val="ctr"/>
        <c:lblOffset val="100"/>
        <c:noMultiLvlLbl val="0"/>
      </c:catAx>
      <c:valAx>
        <c:axId val="8177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3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120650</xdr:colOff>
      <xdr:row>20</xdr:row>
      <xdr:rowOff>117474</xdr:rowOff>
    </xdr:from>
    <xdr:ext cx="9220200" cy="4143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10</xdr:row>
      <xdr:rowOff>28575</xdr:rowOff>
    </xdr:from>
    <xdr:to>
      <xdr:col>12</xdr:col>
      <xdr:colOff>619125</xdr:colOff>
      <xdr:row>23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2EC89EB-3EDC-C35C-21BF-8E12B860D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opLeftCell="A8" workbookViewId="0">
      <selection activeCell="D20" sqref="D20"/>
    </sheetView>
  </sheetViews>
  <sheetFormatPr defaultRowHeight="16.5" x14ac:dyDescent="0.3"/>
  <cols>
    <col min="1" max="1" width="20" customWidth="1"/>
    <col min="2" max="3" width="13" customWidth="1"/>
    <col min="4" max="4" width="16" customWidth="1"/>
    <col min="5" max="5" width="3" customWidth="1"/>
    <col min="6" max="8" width="20" customWidth="1"/>
  </cols>
  <sheetData>
    <row r="1" spans="1:13" ht="36" customHeight="1" x14ac:dyDescent="0.3">
      <c r="A1" s="13" t="s">
        <v>0</v>
      </c>
      <c r="B1" s="10"/>
      <c r="C1" s="10"/>
      <c r="D1" s="10"/>
      <c r="E1" s="10"/>
      <c r="F1" s="10"/>
      <c r="G1" s="10"/>
      <c r="H1" s="10"/>
    </row>
    <row r="2" spans="1:13" ht="54.9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3" ht="30" customHeight="1" x14ac:dyDescent="0.3">
      <c r="A4" s="15" t="s">
        <v>2</v>
      </c>
      <c r="B4" s="15"/>
      <c r="C4" s="15"/>
      <c r="D4" s="15"/>
    </row>
    <row r="5" spans="1:13" ht="39.950000000000003" customHeight="1" x14ac:dyDescent="0.3">
      <c r="A5" s="1" t="s">
        <v>3</v>
      </c>
      <c r="B5" s="1" t="s">
        <v>4</v>
      </c>
    </row>
    <row r="6" spans="1:13" ht="27.95" customHeight="1" x14ac:dyDescent="0.3">
      <c r="A6" s="2" t="s">
        <v>19</v>
      </c>
      <c r="B6" s="3">
        <v>10</v>
      </c>
    </row>
    <row r="7" spans="1:13" ht="27.95" customHeight="1" x14ac:dyDescent="0.3">
      <c r="A7" s="2" t="s">
        <v>20</v>
      </c>
      <c r="B7" s="3">
        <v>20</v>
      </c>
    </row>
    <row r="8" spans="1:13" ht="27.95" customHeight="1" x14ac:dyDescent="0.3">
      <c r="A8" s="2" t="s">
        <v>21</v>
      </c>
      <c r="B8" s="3">
        <v>30</v>
      </c>
    </row>
    <row r="9" spans="1:13" ht="27.95" customHeight="1" x14ac:dyDescent="0.3">
      <c r="A9" s="4" t="s">
        <v>5</v>
      </c>
      <c r="B9" s="5">
        <f>AVERAGE(B6:B8)</f>
        <v>20</v>
      </c>
    </row>
    <row r="11" spans="1:13" ht="24" customHeight="1" x14ac:dyDescent="0.3">
      <c r="A11" s="14" t="s">
        <v>6</v>
      </c>
      <c r="B11" s="14"/>
      <c r="C11" s="14"/>
      <c r="D11" s="14"/>
    </row>
    <row r="12" spans="1:13" ht="24" customHeight="1" x14ac:dyDescent="0.3">
      <c r="A12" s="14" t="s">
        <v>7</v>
      </c>
      <c r="B12" s="14"/>
      <c r="C12" s="14"/>
      <c r="D12" s="14"/>
    </row>
    <row r="14" spans="1:13" ht="45" customHeight="1" x14ac:dyDescent="0.3">
      <c r="A14" s="12" t="s">
        <v>8</v>
      </c>
      <c r="B14" s="10"/>
      <c r="C14" s="10"/>
      <c r="D14" s="10"/>
      <c r="E14" s="10"/>
      <c r="F14" s="10"/>
      <c r="G14" s="10"/>
      <c r="H14" s="10"/>
    </row>
    <row r="15" spans="1:13" ht="39.950000000000003" customHeight="1" x14ac:dyDescent="0.3">
      <c r="A15" s="1" t="s">
        <v>9</v>
      </c>
      <c r="B15" s="1" t="s">
        <v>10</v>
      </c>
      <c r="C15" s="1" t="s">
        <v>11</v>
      </c>
      <c r="D15" s="1" t="s">
        <v>12</v>
      </c>
      <c r="F15" s="9" t="s">
        <v>13</v>
      </c>
      <c r="G15" s="10"/>
      <c r="H15" s="10"/>
      <c r="I15" s="10"/>
      <c r="J15" s="10"/>
      <c r="K15" s="10"/>
      <c r="L15" s="10"/>
      <c r="M15" s="10"/>
    </row>
    <row r="16" spans="1:13" ht="27.95" customHeight="1" x14ac:dyDescent="0.3">
      <c r="A16" s="2" t="s">
        <v>14</v>
      </c>
      <c r="B16" s="3">
        <v>40</v>
      </c>
      <c r="C16" s="3">
        <v>100</v>
      </c>
      <c r="D16" s="6">
        <f>B16*C16</f>
        <v>4000</v>
      </c>
      <c r="F16" s="10"/>
      <c r="G16" s="10"/>
      <c r="H16" s="10"/>
      <c r="I16" s="10"/>
      <c r="J16" s="10"/>
      <c r="K16" s="10"/>
      <c r="L16" s="10"/>
      <c r="M16" s="10"/>
    </row>
    <row r="17" spans="1:13" ht="27.95" customHeight="1" x14ac:dyDescent="0.3">
      <c r="A17" s="2" t="s">
        <v>15</v>
      </c>
      <c r="B17" s="3">
        <v>30</v>
      </c>
      <c r="C17" s="3">
        <v>80</v>
      </c>
      <c r="D17" s="6">
        <f>B17*C17</f>
        <v>2400</v>
      </c>
      <c r="F17" s="10"/>
      <c r="G17" s="10"/>
      <c r="H17" s="10"/>
      <c r="I17" s="10"/>
      <c r="J17" s="10"/>
      <c r="K17" s="10"/>
      <c r="L17" s="10"/>
      <c r="M17" s="10"/>
    </row>
    <row r="18" spans="1:13" ht="27.95" customHeight="1" x14ac:dyDescent="0.3">
      <c r="A18" s="2" t="s">
        <v>16</v>
      </c>
      <c r="B18" s="3">
        <v>30</v>
      </c>
      <c r="C18" s="3">
        <v>120</v>
      </c>
      <c r="D18" s="6">
        <f>B18*C18</f>
        <v>3600</v>
      </c>
      <c r="F18" s="10"/>
      <c r="G18" s="10"/>
      <c r="H18" s="10"/>
      <c r="I18" s="10"/>
      <c r="J18" s="10"/>
      <c r="K18" s="10"/>
      <c r="L18" s="10"/>
      <c r="M18" s="10"/>
    </row>
    <row r="19" spans="1:13" ht="27.95" customHeight="1" x14ac:dyDescent="0.3">
      <c r="A19" s="4" t="s">
        <v>17</v>
      </c>
      <c r="B19" s="7">
        <f>SUM(B16:B18)</f>
        <v>100</v>
      </c>
      <c r="C19" s="8"/>
      <c r="D19" s="7">
        <f>SUM(D16:D18)</f>
        <v>10000</v>
      </c>
      <c r="F19" s="10"/>
      <c r="G19" s="10"/>
      <c r="H19" s="10"/>
      <c r="I19" s="10"/>
      <c r="J19" s="10"/>
      <c r="K19" s="10"/>
      <c r="L19" s="10"/>
      <c r="M19" s="10"/>
    </row>
    <row r="20" spans="1:13" ht="42" customHeight="1" x14ac:dyDescent="0.3">
      <c r="A20" s="4" t="s">
        <v>18</v>
      </c>
      <c r="D20" s="5">
        <f>D19/B19</f>
        <v>100</v>
      </c>
      <c r="F20" s="10"/>
      <c r="G20" s="10"/>
      <c r="H20" s="10"/>
      <c r="I20" s="10"/>
      <c r="J20" s="10"/>
      <c r="K20" s="10"/>
      <c r="L20" s="10"/>
      <c r="M20" s="10"/>
    </row>
    <row r="21" spans="1:13" x14ac:dyDescent="0.3">
      <c r="F21" s="10"/>
      <c r="G21" s="10"/>
      <c r="H21" s="10"/>
      <c r="I21" s="10"/>
      <c r="J21" s="10"/>
      <c r="K21" s="10"/>
      <c r="L21" s="10"/>
      <c r="M21" s="10"/>
    </row>
  </sheetData>
  <mergeCells count="7">
    <mergeCell ref="F15:M21"/>
    <mergeCell ref="A2:K3"/>
    <mergeCell ref="A14:H14"/>
    <mergeCell ref="A1:H1"/>
    <mergeCell ref="A11:D11"/>
    <mergeCell ref="A12:D12"/>
    <mergeCell ref="A4:D4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A98A-AE46-42CD-A23E-0D8C2CA96710}">
  <dimension ref="A1:E6"/>
  <sheetViews>
    <sheetView workbookViewId="0">
      <selection activeCell="B7" sqref="B7"/>
    </sheetView>
  </sheetViews>
  <sheetFormatPr defaultRowHeight="16.5" x14ac:dyDescent="0.3"/>
  <cols>
    <col min="1" max="1" width="17.125" bestFit="1" customWidth="1"/>
    <col min="4" max="4" width="24.5" bestFit="1" customWidth="1"/>
  </cols>
  <sheetData>
    <row r="1" spans="1:5" x14ac:dyDescent="0.3">
      <c r="A1" t="s">
        <v>22</v>
      </c>
      <c r="B1">
        <v>90</v>
      </c>
      <c r="C1" t="s">
        <v>30</v>
      </c>
      <c r="D1" t="s">
        <v>29</v>
      </c>
      <c r="E1">
        <v>5</v>
      </c>
    </row>
    <row r="2" spans="1:5" x14ac:dyDescent="0.3">
      <c r="A2" t="s">
        <v>23</v>
      </c>
      <c r="B2">
        <v>80</v>
      </c>
      <c r="C2" t="s">
        <v>30</v>
      </c>
    </row>
    <row r="3" spans="1:5" x14ac:dyDescent="0.3">
      <c r="A3" t="s">
        <v>25</v>
      </c>
      <c r="B3">
        <v>70</v>
      </c>
      <c r="C3" t="s">
        <v>30</v>
      </c>
    </row>
    <row r="4" spans="1:5" x14ac:dyDescent="0.3">
      <c r="A4" t="s">
        <v>26</v>
      </c>
      <c r="B4">
        <v>100</v>
      </c>
      <c r="C4" t="s">
        <v>30</v>
      </c>
    </row>
    <row r="5" spans="1:5" x14ac:dyDescent="0.3">
      <c r="A5" t="s">
        <v>27</v>
      </c>
      <c r="B5">
        <v>110</v>
      </c>
      <c r="C5" t="s">
        <v>30</v>
      </c>
    </row>
    <row r="6" spans="1:5" x14ac:dyDescent="0.3">
      <c r="A6" s="16" t="s">
        <v>28</v>
      </c>
      <c r="B6" s="16">
        <f>AVERAGE(B1:B5)</f>
        <v>90</v>
      </c>
      <c r="C6" s="16" t="s">
        <v>30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EB78-1F6C-495B-9191-8C75EF4C7CD9}">
  <dimension ref="A1:D10"/>
  <sheetViews>
    <sheetView tabSelected="1" workbookViewId="0">
      <selection activeCell="C1" activeCellId="1" sqref="A1:A6 C1:C6"/>
    </sheetView>
  </sheetViews>
  <sheetFormatPr defaultRowHeight="16.5" x14ac:dyDescent="0.3"/>
  <cols>
    <col min="1" max="1" width="14.75" bestFit="1" customWidth="1"/>
    <col min="2" max="2" width="11.125" bestFit="1" customWidth="1"/>
    <col min="3" max="3" width="14" bestFit="1" customWidth="1"/>
  </cols>
  <sheetData>
    <row r="1" spans="1:4" x14ac:dyDescent="0.3">
      <c r="A1" t="s">
        <v>32</v>
      </c>
      <c r="B1" t="s">
        <v>33</v>
      </c>
      <c r="C1" t="s">
        <v>34</v>
      </c>
      <c r="D1" s="17" t="s">
        <v>36</v>
      </c>
    </row>
    <row r="2" spans="1:4" x14ac:dyDescent="0.3">
      <c r="A2" t="s">
        <v>22</v>
      </c>
      <c r="B2">
        <v>50</v>
      </c>
      <c r="C2">
        <v>90</v>
      </c>
      <c r="D2">
        <f>B2*C2</f>
        <v>4500</v>
      </c>
    </row>
    <row r="3" spans="1:4" x14ac:dyDescent="0.3">
      <c r="A3" t="s">
        <v>31</v>
      </c>
      <c r="B3">
        <v>60</v>
      </c>
      <c r="C3">
        <v>75</v>
      </c>
      <c r="D3">
        <f t="shared" ref="D3:D6" si="0">B3*C3</f>
        <v>4500</v>
      </c>
    </row>
    <row r="4" spans="1:4" x14ac:dyDescent="0.3">
      <c r="A4" t="s">
        <v>24</v>
      </c>
      <c r="B4">
        <v>40</v>
      </c>
      <c r="C4">
        <v>60</v>
      </c>
      <c r="D4">
        <f t="shared" si="0"/>
        <v>2400</v>
      </c>
    </row>
    <row r="5" spans="1:4" x14ac:dyDescent="0.3">
      <c r="A5" t="s">
        <v>26</v>
      </c>
      <c r="B5">
        <v>25</v>
      </c>
      <c r="C5">
        <v>50</v>
      </c>
      <c r="D5">
        <f t="shared" si="0"/>
        <v>1250</v>
      </c>
    </row>
    <row r="6" spans="1:4" x14ac:dyDescent="0.3">
      <c r="A6" t="s">
        <v>27</v>
      </c>
      <c r="B6">
        <v>40</v>
      </c>
      <c r="C6">
        <v>100</v>
      </c>
      <c r="D6">
        <f t="shared" si="0"/>
        <v>4000</v>
      </c>
    </row>
    <row r="7" spans="1:4" x14ac:dyDescent="0.3">
      <c r="A7" t="s">
        <v>35</v>
      </c>
      <c r="B7">
        <f>SUM(B2:B6)</f>
        <v>215</v>
      </c>
      <c r="D7">
        <f>SUM(D2:D6)</f>
        <v>16650</v>
      </c>
    </row>
    <row r="10" spans="1:4" x14ac:dyDescent="0.3">
      <c r="A10" t="s">
        <v>37</v>
      </c>
      <c r="C10">
        <f>D7/B7</f>
        <v>77.441860465116278</v>
      </c>
      <c r="D10" t="s">
        <v>30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6762-F050-493A-BA99-5A1942D11E28}">
  <dimension ref="A1:C6"/>
  <sheetViews>
    <sheetView workbookViewId="0">
      <selection activeCell="D6" sqref="D6"/>
    </sheetView>
  </sheetViews>
  <sheetFormatPr defaultRowHeight="16.5" x14ac:dyDescent="0.3"/>
  <cols>
    <col min="1" max="1" width="12.375" bestFit="1" customWidth="1"/>
    <col min="2" max="2" width="11.125" bestFit="1" customWidth="1"/>
    <col min="3" max="3" width="14" bestFit="1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22</v>
      </c>
      <c r="B2">
        <v>20</v>
      </c>
      <c r="C2">
        <v>25</v>
      </c>
    </row>
    <row r="3" spans="1:3" x14ac:dyDescent="0.3">
      <c r="A3" t="s">
        <v>31</v>
      </c>
      <c r="B3">
        <v>50</v>
      </c>
      <c r="C3">
        <v>75</v>
      </c>
    </row>
    <row r="4" spans="1:3" x14ac:dyDescent="0.3">
      <c r="A4" t="s">
        <v>24</v>
      </c>
      <c r="B4">
        <v>75</v>
      </c>
      <c r="C4">
        <v>110</v>
      </c>
    </row>
    <row r="5" spans="1:3" x14ac:dyDescent="0.3">
      <c r="A5" t="s">
        <v>26</v>
      </c>
      <c r="B5">
        <v>150</v>
      </c>
      <c r="C5">
        <v>200</v>
      </c>
    </row>
    <row r="6" spans="1:3" x14ac:dyDescent="0.3">
      <c r="A6" t="s">
        <v>27</v>
      </c>
      <c r="B6">
        <v>250</v>
      </c>
      <c r="C6">
        <v>30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Week2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김상민</cp:lastModifiedBy>
  <dcterms:created xsi:type="dcterms:W3CDTF">2026-09-14T04:54:49Z</dcterms:created>
  <dcterms:modified xsi:type="dcterms:W3CDTF">2026-09-21T02:40:18Z</dcterms:modified>
</cp:coreProperties>
</file>